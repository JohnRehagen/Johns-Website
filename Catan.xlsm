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hnw\Desktop\Website 2\"/>
    </mc:Choice>
  </mc:AlternateContent>
  <xr:revisionPtr revIDLastSave="0" documentId="8_{EED368B8-02D0-4F07-96A9-31A36507009C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Main" sheetId="1" r:id="rId1"/>
    <sheet name="Sheet1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9" i="1" l="1"/>
  <c r="E40" i="1" s="1"/>
  <c r="D39" i="1"/>
  <c r="D40" i="1" s="1"/>
  <c r="C39" i="1"/>
  <c r="C40" i="1" s="1"/>
  <c r="B39" i="1"/>
  <c r="B40" i="1" s="1"/>
  <c r="K45" i="2"/>
  <c r="J45" i="2"/>
  <c r="K44" i="2"/>
  <c r="J44" i="2"/>
  <c r="K43" i="2"/>
  <c r="J43" i="2"/>
  <c r="K42" i="2"/>
  <c r="J42" i="2"/>
  <c r="K41" i="2"/>
  <c r="J41" i="2"/>
  <c r="K40" i="2"/>
  <c r="J40" i="2"/>
  <c r="K39" i="2"/>
  <c r="J39" i="2"/>
  <c r="K38" i="2"/>
  <c r="J38" i="2"/>
  <c r="K37" i="2"/>
  <c r="J37" i="2"/>
  <c r="K36" i="2"/>
  <c r="J36" i="2"/>
  <c r="K35" i="2"/>
  <c r="J35" i="2"/>
  <c r="K34" i="2"/>
  <c r="J34" i="2"/>
  <c r="K33" i="2"/>
  <c r="J33" i="2"/>
  <c r="K32" i="2"/>
  <c r="J32" i="2"/>
  <c r="K31" i="2"/>
  <c r="J31" i="2"/>
  <c r="K30" i="2"/>
  <c r="J30" i="2"/>
  <c r="K29" i="2"/>
  <c r="J29" i="2"/>
  <c r="K28" i="2"/>
  <c r="J28" i="2"/>
  <c r="K27" i="2"/>
  <c r="J27" i="2"/>
  <c r="K26" i="2"/>
  <c r="J26" i="2"/>
  <c r="K25" i="2"/>
  <c r="J25" i="2"/>
  <c r="K24" i="2"/>
  <c r="J24" i="2"/>
  <c r="K23" i="2"/>
  <c r="J23" i="2"/>
  <c r="K22" i="2"/>
  <c r="J22" i="2"/>
  <c r="K21" i="2"/>
  <c r="J21" i="2"/>
  <c r="K20" i="2"/>
  <c r="J20" i="2"/>
  <c r="K19" i="2"/>
  <c r="J19" i="2"/>
  <c r="K18" i="2"/>
  <c r="J18" i="2"/>
  <c r="K17" i="2"/>
  <c r="J17" i="2"/>
  <c r="K16" i="2"/>
  <c r="J16" i="2"/>
  <c r="K15" i="2"/>
  <c r="J15" i="2"/>
  <c r="K14" i="2"/>
  <c r="J14" i="2"/>
  <c r="K13" i="2"/>
  <c r="J13" i="2"/>
  <c r="K12" i="2"/>
  <c r="J12" i="2"/>
  <c r="K11" i="2"/>
  <c r="J11" i="2"/>
  <c r="K10" i="2"/>
  <c r="J10" i="2"/>
  <c r="M28" i="1"/>
  <c r="M29" i="1"/>
  <c r="M30" i="1"/>
  <c r="M31" i="1"/>
  <c r="M27" i="1"/>
  <c r="B41" i="1" l="1" a="1"/>
  <c r="B41" i="1" s="1"/>
  <c r="D41" i="1" a="1"/>
  <c r="D41" i="1" s="1"/>
  <c r="C41" i="1" a="1"/>
  <c r="C41" i="1" s="1"/>
  <c r="E41" i="1" a="1"/>
  <c r="E41" i="1" s="1"/>
  <c r="N31" i="1" a="1"/>
  <c r="N31" i="1" s="1"/>
  <c r="N29" i="1" a="1"/>
  <c r="N29" i="1" s="1"/>
  <c r="N28" i="1" a="1"/>
  <c r="N28" i="1" s="1"/>
  <c r="N30" i="1" a="1"/>
  <c r="N30" i="1" s="1"/>
  <c r="N27" i="1" a="1"/>
  <c r="N27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<sst xmlns="http://schemas.openxmlformats.org/spreadsheetml/2006/main" count="209" uniqueCount="85">
  <si>
    <t>Tile</t>
  </si>
  <si>
    <t>Number</t>
  </si>
  <si>
    <t>Resource</t>
  </si>
  <si>
    <t>Ore</t>
  </si>
  <si>
    <t>Wood</t>
  </si>
  <si>
    <t>Brick</t>
  </si>
  <si>
    <t>Sheep</t>
  </si>
  <si>
    <t>Wheat</t>
  </si>
  <si>
    <t>B</t>
  </si>
  <si>
    <t>D</t>
  </si>
  <si>
    <t>W</t>
  </si>
  <si>
    <t>Wh</t>
  </si>
  <si>
    <t>S</t>
  </si>
  <si>
    <t>O</t>
  </si>
  <si>
    <t>Expected Value</t>
  </si>
  <si>
    <t>Relative Strength, raw</t>
  </si>
  <si>
    <t>Relative Strength, scaled</t>
  </si>
  <si>
    <t>Expected Value Proportion</t>
  </si>
  <si>
    <t>Node Expected Value</t>
  </si>
  <si>
    <t>Node</t>
  </si>
  <si>
    <t>A</t>
  </si>
  <si>
    <t>C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</si>
  <si>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</si>
  <si>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</si>
  <si>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</si>
  <si>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</si>
  <si>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</si>
  <si>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</si>
  <si>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</si>
  <si>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</si>
  <si>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</si>
  <si>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</si>
  <si>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P</t>
  </si>
  <si>
    <t>Q</t>
  </si>
  <si>
    <t>R</t>
  </si>
  <si>
    <t>T</t>
  </si>
  <si>
    <t>U</t>
  </si>
  <si>
    <t>V</t>
  </si>
  <si>
    <t>X</t>
  </si>
  <si>
    <t>Y</t>
  </si>
  <si>
    <t>Z</t>
  </si>
  <si>
    <t>Average Expected Value</t>
  </si>
  <si>
    <t>Specific Expected value</t>
  </si>
  <si>
    <t>Node expected value proportion</t>
  </si>
  <si>
    <t>sort val</t>
  </si>
  <si>
    <t>Brick Component</t>
  </si>
  <si>
    <t>Wood Component</t>
  </si>
  <si>
    <t>Sheep Component</t>
  </si>
  <si>
    <t>Wheat Component</t>
  </si>
  <si>
    <t>Ore Component</t>
  </si>
  <si>
    <t>$M$4</t>
  </si>
  <si>
    <t>$M$5</t>
  </si>
  <si>
    <t>$M$6</t>
  </si>
  <si>
    <t>$M$7</t>
  </si>
  <si>
    <t>$M$8</t>
  </si>
  <si>
    <t>$M$9</t>
  </si>
  <si>
    <t>$M$10</t>
  </si>
  <si>
    <t>$M$11</t>
  </si>
  <si>
    <t>$M$12</t>
  </si>
  <si>
    <t>$M$13</t>
  </si>
  <si>
    <t>$M$14</t>
  </si>
  <si>
    <t>$M$15</t>
  </si>
  <si>
    <t>$M$16</t>
  </si>
  <si>
    <t>$M$17</t>
  </si>
  <si>
    <t>$M$18</t>
  </si>
  <si>
    <t>$M$19</t>
  </si>
  <si>
    <t>$M$20</t>
  </si>
  <si>
    <t>$M$21</t>
  </si>
  <si>
    <t>Node 4</t>
  </si>
  <si>
    <t>Node 1</t>
  </si>
  <si>
    <t>Node 2</t>
  </si>
  <si>
    <t>Node 3</t>
  </si>
  <si>
    <t>Node 5</t>
  </si>
  <si>
    <t>Node 6</t>
  </si>
  <si>
    <t>Color</t>
  </si>
  <si>
    <t>White</t>
  </si>
  <si>
    <t>Blue</t>
  </si>
  <si>
    <t>Red</t>
  </si>
  <si>
    <t>Brown</t>
  </si>
  <si>
    <t>Total Value</t>
  </si>
  <si>
    <t>Input node or tile number. Bold if a city</t>
  </si>
  <si>
    <t>winner</t>
  </si>
  <si>
    <t>Wi</t>
  </si>
  <si>
    <t>Relative Power</t>
  </si>
  <si>
    <t>Power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</si>
</sst>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25">
    <xf numFmtId="0" fontId="0" fillId="0" borderId="0" xfId="0"/>
    <xf numFmtId="0" fontId="1" fillId="0" borderId="0" xfId="0" applyFont="1"/>
    <xf numFmtId="0" fontId="1" fillId="0" borderId="0" xfId="0" applyFont="1" applyAlignment="1">
      <alignment wrapText="1"/>
    </xf>
    <xf numFmtId="0" fontId="0" fillId="2" borderId="0" xfId="0" applyFill="1"/>
    <xf numFmtId="164" fontId="0" fillId="0" borderId="0" xfId="1" applyNumberFormat="1" applyFont="1"/>
    <xf numFmtId="164" fontId="0" fillId="0" borderId="0" xfId="0" applyNumberFormat="1"/>
    <xf numFmtId="14" fontId="0" fillId="0" borderId="0" xfId="0" applyNumberFormat="1"/>
    <xf numFmtId="0" fontId="0" fillId="0" borderId="0" xfId="0" applyAlignment="1">
      <alignment horizontal="center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164" fontId="1" fillId="0" borderId="0" xfId="0" applyNumberFormat="1" applyFont="1" applyAlignment="1">
      <alignment wrapText="1"/>
    </xf>
    <xf numFmtId="0" fontId="1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1" fillId="0" borderId="0" xfId="0" applyFont="1"/>
    <xf numFmtId="0" fontId="1" fillId="0" borderId="0" xfId="0" applyFont="1" applyAlignment="1">
      <alignment wrapText="1"/>
    </xf>
    <xf numFmtId="0" fontId="1" fillId="0" borderId="0" xfId="0" applyFont="1" applyAlignment="1">
      <alignment horizontal="left" wrapText="1"/>
    </xf>
    <xf numFmtId="0" fontId="0" fillId="0" borderId="0" xfId="0" applyFont="1"/>
    <xf numFmtId="0" fontId="0" fillId="0" borderId="0" xfId="0" applyFont="1"/>
    <xf numFmtId="0" fontId="0" fillId="2" borderId="0" xfId="0" applyFont="1" applyFill="1"/>
    <xf numFmtId="164" fontId="0" fillId="0" borderId="0" xfId="0" applyNumberFormat="1" applyFont="1"/>
    <xf numFmtId="0" fontId="0" fillId="2" borderId="0" xfId="0" applyFont="1" applyFill="1" applyAlignment="1">
      <alignment horizontal="center"/>
    </xf>
    <xf numFmtId="1" fontId="1" fillId="0" borderId="0" xfId="0" applyNumberFormat="1" applyFont="1" applyAlignment="1">
      <alignment horizontal="center"/>
    </xf>
    <xf numFmtId="0" fontId="0" fillId="0" borderId="1" xfId="0" applyFont="1" applyBorder="1"/>
    <xf numFmtId="0" fontId="0" fillId="0" borderId="2" xfId="0" applyFont="1" applyBorder="1"/>
    <xf numFmtId="0" fontId="0" fillId="0" borderId="3" xfId="0" applyFont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97751</xdr:colOff>
      <xdr:row>5</xdr:row>
      <xdr:rowOff>171206</xdr:rowOff>
    </xdr:from>
    <xdr:to>
      <xdr:col>5</xdr:col>
      <xdr:colOff>307732</xdr:colOff>
      <xdr:row>10</xdr:row>
      <xdr:rowOff>173633</xdr:rowOff>
    </xdr:to>
    <xdr:sp macro="" textlink="">
      <xdr:nvSpPr>
        <xdr:cNvPr id="7" name="22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 rot="5400000">
          <a:off x="1263607" y="1129509"/>
          <a:ext cx="912781" cy="816884"/>
        </a:xfrm>
        <a:prstGeom prst="hexagon">
          <a:avLst>
            <a:gd name="adj" fmla="val 26401"/>
            <a:gd name="vf" fmla="val 115470"/>
          </a:avLst>
        </a:prstGeom>
        <a:solidFill>
          <a:srgbClr val="AA4A44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t"/>
        <a:lstStyle/>
        <a:p>
          <a:pPr algn="l"/>
          <a:r>
            <a:rPr lang="en-US" sz="1100">
              <a:solidFill>
                <a:srgbClr val="000000"/>
              </a:solidFill>
            </a:rPr>
            <a:t>22 11</a:t>
          </a:r>
        </a:p>
      </xdr:txBody>
    </xdr:sp>
    <xdr:clientData/>
  </xdr:twoCellAnchor>
  <xdr:twoCellAnchor>
    <xdr:from>
      <xdr:col>3</xdr:col>
      <xdr:colOff>293109</xdr:colOff>
      <xdr:row>2</xdr:row>
      <xdr:rowOff>31263</xdr:rowOff>
    </xdr:from>
    <xdr:to>
      <xdr:col>4</xdr:col>
      <xdr:colOff>507618</xdr:colOff>
      <xdr:row>7</xdr:row>
      <xdr:rowOff>33690</xdr:rowOff>
    </xdr:to>
    <xdr:sp macro="" textlink="">
      <xdr:nvSpPr>
        <xdr:cNvPr id="8" name="1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rot="5400000">
          <a:off x="1999350" y="626262"/>
          <a:ext cx="916827" cy="824109"/>
        </a:xfrm>
        <a:prstGeom prst="hexagon">
          <a:avLst>
            <a:gd name="adj" fmla="val 26401"/>
            <a:gd name="vf" fmla="val 115470"/>
          </a:avLst>
        </a:prstGeom>
        <a:solidFill>
          <a:srgbClr val="AD9B8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t"/>
        <a:lstStyle/>
        <a:p>
          <a:pPr algn="l"/>
          <a:r>
            <a:rPr lang="en-US" sz="1100">
              <a:solidFill>
                <a:srgbClr val="000000"/>
              </a:solidFill>
            </a:rPr>
            <a:t>11 </a:t>
          </a:r>
        </a:p>
      </xdr:txBody>
    </xdr:sp>
    <xdr:clientData/>
  </xdr:twoCellAnchor>
  <xdr:twoCellAnchor>
    <xdr:from>
      <xdr:col>2</xdr:col>
      <xdr:colOff>491153</xdr:colOff>
      <xdr:row>5</xdr:row>
      <xdr:rowOff>170328</xdr:rowOff>
    </xdr:from>
    <xdr:to>
      <xdr:col>4</xdr:col>
      <xdr:colOff>93074</xdr:colOff>
      <xdr:row>10</xdr:row>
      <xdr:rowOff>172756</xdr:rowOff>
    </xdr:to>
    <xdr:sp macro="" textlink="">
      <xdr:nvSpPr>
        <xdr:cNvPr id="9" name="2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 rot="5400000">
          <a:off x="1588113" y="1304939"/>
          <a:ext cx="909571" cy="817492"/>
        </a:xfrm>
        <a:prstGeom prst="hexagon">
          <a:avLst>
            <a:gd name="adj" fmla="val 26401"/>
            <a:gd name="vf" fmla="val 115470"/>
          </a:avLst>
        </a:prstGeom>
        <a:solidFill>
          <a:srgbClr val="B2D2A4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t"/>
        <a:lstStyle/>
        <a:p>
          <a:pPr algn="l"/>
          <a:r>
            <a:rPr lang="en-US" sz="1100">
              <a:solidFill>
                <a:srgbClr val="000000"/>
              </a:solidFill>
            </a:rPr>
            <a:t>21 12</a:t>
          </a:r>
        </a:p>
      </xdr:txBody>
    </xdr:sp>
    <xdr:clientData/>
  </xdr:twoCellAnchor>
  <xdr:twoCellAnchor>
    <xdr:from>
      <xdr:col>2</xdr:col>
      <xdr:colOff>81768</xdr:colOff>
      <xdr:row>9</xdr:row>
      <xdr:rowOff>139537</xdr:rowOff>
    </xdr:from>
    <xdr:to>
      <xdr:col>3</xdr:col>
      <xdr:colOff>296277</xdr:colOff>
      <xdr:row>14</xdr:row>
      <xdr:rowOff>141964</xdr:rowOff>
    </xdr:to>
    <xdr:sp macro="" textlink="">
      <xdr:nvSpPr>
        <xdr:cNvPr id="10" name="3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 rot="5400000">
          <a:off x="36083" y="1823859"/>
          <a:ext cx="912781" cy="821412"/>
        </a:xfrm>
        <a:prstGeom prst="hexagon">
          <a:avLst>
            <a:gd name="adj" fmla="val 26401"/>
            <a:gd name="vf" fmla="val 115470"/>
          </a:avLst>
        </a:prstGeom>
        <a:solidFill>
          <a:srgbClr val="00A3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t"/>
        <a:lstStyle/>
        <a:p>
          <a:pPr algn="l"/>
          <a:r>
            <a:rPr lang="en-US" sz="1100">
              <a:solidFill>
                <a:srgbClr val="000000"/>
              </a:solidFill>
            </a:rPr>
            <a:t>31 9</a:t>
          </a:r>
        </a:p>
      </xdr:txBody>
    </xdr:sp>
    <xdr:clientData/>
  </xdr:twoCellAnchor>
  <xdr:twoCellAnchor>
    <xdr:from>
      <xdr:col>3</xdr:col>
      <xdr:colOff>292484</xdr:colOff>
      <xdr:row>9</xdr:row>
      <xdr:rowOff>135031</xdr:rowOff>
    </xdr:from>
    <xdr:to>
      <xdr:col>4</xdr:col>
      <xdr:colOff>502466</xdr:colOff>
      <xdr:row>14</xdr:row>
      <xdr:rowOff>137458</xdr:rowOff>
    </xdr:to>
    <xdr:sp macro="" textlink="">
      <xdr:nvSpPr>
        <xdr:cNvPr id="11" name="32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 rot="5400000">
          <a:off x="846534" y="1851587"/>
          <a:ext cx="926064" cy="818042"/>
        </a:xfrm>
        <a:prstGeom prst="hexagon">
          <a:avLst>
            <a:gd name="adj" fmla="val 26401"/>
            <a:gd name="vf" fmla="val 115470"/>
          </a:avLst>
        </a:prstGeom>
        <a:solidFill>
          <a:srgbClr val="DCDCDC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t"/>
        <a:lstStyle/>
        <a:p>
          <a:pPr algn="l"/>
          <a:r>
            <a:rPr lang="en-US" sz="1100">
              <a:solidFill>
                <a:srgbClr val="000000"/>
              </a:solidFill>
            </a:rPr>
            <a:t>32 5</a:t>
          </a:r>
        </a:p>
      </xdr:txBody>
    </xdr:sp>
    <xdr:clientData/>
  </xdr:twoCellAnchor>
  <xdr:twoCellAnchor>
    <xdr:from>
      <xdr:col>4</xdr:col>
      <xdr:colOff>504479</xdr:colOff>
      <xdr:row>9</xdr:row>
      <xdr:rowOff>141150</xdr:rowOff>
    </xdr:from>
    <xdr:to>
      <xdr:col>6</xdr:col>
      <xdr:colOff>106400</xdr:colOff>
      <xdr:row>14</xdr:row>
      <xdr:rowOff>143577</xdr:rowOff>
    </xdr:to>
    <xdr:sp macro="" textlink="">
      <xdr:nvSpPr>
        <xdr:cNvPr id="12" name="3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 rot="5400000">
          <a:off x="2818826" y="2017803"/>
          <a:ext cx="916827" cy="821121"/>
        </a:xfrm>
        <a:prstGeom prst="hexagon">
          <a:avLst>
            <a:gd name="adj" fmla="val 26401"/>
            <a:gd name="vf" fmla="val 115470"/>
          </a:avLst>
        </a:prstGeom>
        <a:solidFill>
          <a:srgbClr val="FFFAE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t"/>
        <a:lstStyle/>
        <a:p>
          <a:pPr algn="l"/>
          <a:r>
            <a:rPr lang="en-US" sz="1100">
              <a:solidFill>
                <a:srgbClr val="000000"/>
              </a:solidFill>
            </a:rPr>
            <a:t>33 2</a:t>
          </a:r>
        </a:p>
      </xdr:txBody>
    </xdr:sp>
    <xdr:clientData/>
  </xdr:twoCellAnchor>
  <xdr:twoCellAnchor>
    <xdr:from>
      <xdr:col>4</xdr:col>
      <xdr:colOff>503627</xdr:colOff>
      <xdr:row>2</xdr:row>
      <xdr:rowOff>30953</xdr:rowOff>
    </xdr:from>
    <xdr:to>
      <xdr:col>6</xdr:col>
      <xdr:colOff>110075</xdr:colOff>
      <xdr:row>7</xdr:row>
      <xdr:rowOff>33380</xdr:rowOff>
    </xdr:to>
    <xdr:sp macro="" textlink="">
      <xdr:nvSpPr>
        <xdr:cNvPr id="13" name="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 rot="5400000">
          <a:off x="2820810" y="627131"/>
          <a:ext cx="919119" cy="826794"/>
        </a:xfrm>
        <a:prstGeom prst="hexagon">
          <a:avLst>
            <a:gd name="adj" fmla="val 26401"/>
            <a:gd name="vf" fmla="val 115470"/>
          </a:avLst>
        </a:prstGeom>
        <a:solidFill>
          <a:srgbClr val="00A3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t"/>
        <a:lstStyle/>
        <a:p>
          <a:pPr algn="l"/>
          <a:r>
            <a:rPr lang="en-US" sz="1100">
              <a:solidFill>
                <a:srgbClr val="000000"/>
              </a:solidFill>
            </a:rPr>
            <a:t>12 11</a:t>
          </a:r>
        </a:p>
      </xdr:txBody>
    </xdr:sp>
    <xdr:clientData/>
  </xdr:twoCellAnchor>
  <xdr:twoCellAnchor>
    <xdr:from>
      <xdr:col>5</xdr:col>
      <xdr:colOff>309663</xdr:colOff>
      <xdr:row>5</xdr:row>
      <xdr:rowOff>180382</xdr:rowOff>
    </xdr:from>
    <xdr:to>
      <xdr:col>6</xdr:col>
      <xdr:colOff>524172</xdr:colOff>
      <xdr:row>11</xdr:row>
      <xdr:rowOff>1121</xdr:rowOff>
    </xdr:to>
    <xdr:sp macro="" textlink="">
      <xdr:nvSpPr>
        <xdr:cNvPr id="14" name="2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 rot="5400000">
          <a:off x="3241342" y="1316319"/>
          <a:ext cx="910860" cy="824651"/>
        </a:xfrm>
        <a:prstGeom prst="hexagon">
          <a:avLst>
            <a:gd name="adj" fmla="val 26401"/>
            <a:gd name="vf" fmla="val 115470"/>
          </a:avLst>
        </a:prstGeom>
        <a:solidFill>
          <a:srgbClr val="DCDCDC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t"/>
        <a:lstStyle/>
        <a:p>
          <a:pPr algn="l"/>
          <a:r>
            <a:rPr lang="en-US" sz="1100">
              <a:solidFill>
                <a:srgbClr val="000000"/>
              </a:solidFill>
            </a:rPr>
            <a:t>23 4</a:t>
          </a:r>
        </a:p>
      </xdr:txBody>
    </xdr:sp>
    <xdr:clientData/>
  </xdr:twoCellAnchor>
  <xdr:twoCellAnchor>
    <xdr:from>
      <xdr:col>6</xdr:col>
      <xdr:colOff>108003</xdr:colOff>
      <xdr:row>2</xdr:row>
      <xdr:rowOff>28751</xdr:rowOff>
    </xdr:from>
    <xdr:to>
      <xdr:col>7</xdr:col>
      <xdr:colOff>322511</xdr:colOff>
      <xdr:row>7</xdr:row>
      <xdr:rowOff>31178</xdr:rowOff>
    </xdr:to>
    <xdr:sp macro="" textlink="">
      <xdr:nvSpPr>
        <xdr:cNvPr id="15" name="13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 rot="5400000">
          <a:off x="3643043" y="623751"/>
          <a:ext cx="916827" cy="824108"/>
        </a:xfrm>
        <a:prstGeom prst="hexagon">
          <a:avLst>
            <a:gd name="adj" fmla="val 26401"/>
            <a:gd name="vf" fmla="val 115470"/>
          </a:avLst>
        </a:prstGeom>
        <a:solidFill>
          <a:srgbClr val="FFFAE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t"/>
        <a:lstStyle/>
        <a:p>
          <a:pPr algn="l"/>
          <a:r>
            <a:rPr lang="en-US" sz="1100">
              <a:solidFill>
                <a:srgbClr val="000000"/>
              </a:solidFill>
            </a:rPr>
            <a:t>13 8</a:t>
          </a:r>
        </a:p>
      </xdr:txBody>
    </xdr:sp>
    <xdr:clientData/>
  </xdr:twoCellAnchor>
  <xdr:twoCellAnchor>
    <xdr:from>
      <xdr:col>6</xdr:col>
      <xdr:colOff>518251</xdr:colOff>
      <xdr:row>5</xdr:row>
      <xdr:rowOff>173531</xdr:rowOff>
    </xdr:from>
    <xdr:to>
      <xdr:col>8</xdr:col>
      <xdr:colOff>124698</xdr:colOff>
      <xdr:row>10</xdr:row>
      <xdr:rowOff>175957</xdr:rowOff>
    </xdr:to>
    <xdr:sp macro="" textlink="">
      <xdr:nvSpPr>
        <xdr:cNvPr id="16" name="24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 rot="5400000">
          <a:off x="2899598" y="1130149"/>
          <a:ext cx="912780" cy="820252"/>
        </a:xfrm>
        <a:prstGeom prst="hexagon">
          <a:avLst>
            <a:gd name="adj" fmla="val 26401"/>
            <a:gd name="vf" fmla="val 115470"/>
          </a:avLst>
        </a:prstGeom>
        <a:solidFill>
          <a:srgbClr val="B2D2A4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t"/>
        <a:lstStyle/>
        <a:p>
          <a:pPr algn="l"/>
          <a:r>
            <a:rPr lang="en-US" sz="1100">
              <a:solidFill>
                <a:srgbClr val="000000"/>
              </a:solidFill>
            </a:rPr>
            <a:t>24 5</a:t>
          </a:r>
        </a:p>
      </xdr:txBody>
    </xdr:sp>
    <xdr:clientData/>
  </xdr:twoCellAnchor>
  <xdr:twoCellAnchor>
    <xdr:from>
      <xdr:col>6</xdr:col>
      <xdr:colOff>102980</xdr:colOff>
      <xdr:row>9</xdr:row>
      <xdr:rowOff>133507</xdr:rowOff>
    </xdr:from>
    <xdr:to>
      <xdr:col>7</xdr:col>
      <xdr:colOff>317488</xdr:colOff>
      <xdr:row>14</xdr:row>
      <xdr:rowOff>135933</xdr:rowOff>
    </xdr:to>
    <xdr:sp macro="" textlink="">
      <xdr:nvSpPr>
        <xdr:cNvPr id="17" name="34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 rot="5400000">
          <a:off x="3638021" y="2008666"/>
          <a:ext cx="916826" cy="824108"/>
        </a:xfrm>
        <a:prstGeom prst="hexagon">
          <a:avLst>
            <a:gd name="adj" fmla="val 26401"/>
            <a:gd name="vf" fmla="val 115470"/>
          </a:avLst>
        </a:prstGeom>
        <a:solidFill>
          <a:srgbClr val="FFFAE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t"/>
        <a:lstStyle/>
        <a:p>
          <a:pPr algn="l"/>
          <a:r>
            <a:rPr lang="en-US" sz="1100">
              <a:solidFill>
                <a:srgbClr val="000000"/>
              </a:solidFill>
            </a:rPr>
            <a:t>34 10</a:t>
          </a:r>
        </a:p>
      </xdr:txBody>
    </xdr:sp>
    <xdr:clientData/>
  </xdr:twoCellAnchor>
  <xdr:twoCellAnchor>
    <xdr:from>
      <xdr:col>7</xdr:col>
      <xdr:colOff>320800</xdr:colOff>
      <xdr:row>9</xdr:row>
      <xdr:rowOff>140654</xdr:rowOff>
    </xdr:from>
    <xdr:to>
      <xdr:col>8</xdr:col>
      <xdr:colOff>535308</xdr:colOff>
      <xdr:row>14</xdr:row>
      <xdr:rowOff>143080</xdr:rowOff>
    </xdr:to>
    <xdr:sp macro="" textlink="">
      <xdr:nvSpPr>
        <xdr:cNvPr id="19" name="35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 rot="5400000">
          <a:off x="4461603" y="2178081"/>
          <a:ext cx="906959" cy="823012"/>
        </a:xfrm>
        <a:prstGeom prst="hexagon">
          <a:avLst>
            <a:gd name="adj" fmla="val 26401"/>
            <a:gd name="vf" fmla="val 115470"/>
          </a:avLst>
        </a:prstGeom>
        <a:solidFill>
          <a:srgbClr val="DCDCDC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t"/>
        <a:lstStyle/>
        <a:p>
          <a:pPr algn="l"/>
          <a:r>
            <a:rPr lang="en-US" sz="1100">
              <a:solidFill>
                <a:srgbClr val="000000"/>
              </a:solidFill>
            </a:rPr>
            <a:t>35 6</a:t>
          </a:r>
        </a:p>
      </xdr:txBody>
    </xdr:sp>
    <xdr:clientData/>
  </xdr:twoCellAnchor>
  <xdr:twoCellAnchor>
    <xdr:from>
      <xdr:col>4</xdr:col>
      <xdr:colOff>95675</xdr:colOff>
      <xdr:row>13</xdr:row>
      <xdr:rowOff>108532</xdr:rowOff>
    </xdr:from>
    <xdr:to>
      <xdr:col>5</xdr:col>
      <xdr:colOff>305656</xdr:colOff>
      <xdr:row>18</xdr:row>
      <xdr:rowOff>110959</xdr:rowOff>
    </xdr:to>
    <xdr:sp macro="" textlink="">
      <xdr:nvSpPr>
        <xdr:cNvPr id="20" name="4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 rot="5400000">
          <a:off x="2404959" y="2893558"/>
          <a:ext cx="914680" cy="818150"/>
        </a:xfrm>
        <a:prstGeom prst="hexagon">
          <a:avLst>
            <a:gd name="adj" fmla="val 26401"/>
            <a:gd name="vf" fmla="val 115470"/>
          </a:avLst>
        </a:prstGeom>
        <a:solidFill>
          <a:srgbClr val="00A3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t"/>
        <a:lstStyle/>
        <a:p>
          <a:pPr algn="l"/>
          <a:r>
            <a:rPr lang="en-US" sz="1100">
              <a:solidFill>
                <a:srgbClr val="000000"/>
              </a:solidFill>
            </a:rPr>
            <a:t>42 10</a:t>
          </a:r>
        </a:p>
      </xdr:txBody>
    </xdr:sp>
    <xdr:clientData/>
  </xdr:twoCellAnchor>
  <xdr:twoCellAnchor>
    <xdr:from>
      <xdr:col>2</xdr:col>
      <xdr:colOff>493737</xdr:colOff>
      <xdr:row>13</xdr:row>
      <xdr:rowOff>100911</xdr:rowOff>
    </xdr:from>
    <xdr:to>
      <xdr:col>4</xdr:col>
      <xdr:colOff>95658</xdr:colOff>
      <xdr:row>18</xdr:row>
      <xdr:rowOff>103339</xdr:rowOff>
    </xdr:to>
    <xdr:sp macro="" textlink="">
      <xdr:nvSpPr>
        <xdr:cNvPr id="21" name="41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 rot="5400000">
          <a:off x="445209" y="2516359"/>
          <a:ext cx="912782" cy="815726"/>
        </a:xfrm>
        <a:prstGeom prst="hexagon">
          <a:avLst>
            <a:gd name="adj" fmla="val 26401"/>
            <a:gd name="vf" fmla="val 115470"/>
          </a:avLst>
        </a:prstGeom>
        <a:solidFill>
          <a:srgbClr val="AA4A44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t"/>
        <a:lstStyle/>
        <a:p>
          <a:pPr algn="l"/>
          <a:r>
            <a:rPr lang="en-US" sz="1100">
              <a:solidFill>
                <a:srgbClr val="000000"/>
              </a:solidFill>
            </a:rPr>
            <a:t>41 8</a:t>
          </a:r>
        </a:p>
      </xdr:txBody>
    </xdr:sp>
    <xdr:clientData/>
  </xdr:twoCellAnchor>
  <xdr:twoCellAnchor>
    <xdr:from>
      <xdr:col>5</xdr:col>
      <xdr:colOff>302338</xdr:colOff>
      <xdr:row>13</xdr:row>
      <xdr:rowOff>104606</xdr:rowOff>
    </xdr:from>
    <xdr:to>
      <xdr:col>6</xdr:col>
      <xdr:colOff>516847</xdr:colOff>
      <xdr:row>18</xdr:row>
      <xdr:rowOff>107032</xdr:rowOff>
    </xdr:to>
    <xdr:sp macro="" textlink="">
      <xdr:nvSpPr>
        <xdr:cNvPr id="22" name="43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 rot="5400000">
          <a:off x="3226134" y="2865659"/>
          <a:ext cx="906959" cy="823012"/>
        </a:xfrm>
        <a:prstGeom prst="hexagon">
          <a:avLst>
            <a:gd name="adj" fmla="val 26401"/>
            <a:gd name="vf" fmla="val 115470"/>
          </a:avLst>
        </a:prstGeom>
        <a:solidFill>
          <a:srgbClr val="B2D2A4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t"/>
        <a:lstStyle/>
        <a:p>
          <a:pPr algn="l"/>
          <a:r>
            <a:rPr lang="en-US" sz="1100">
              <a:solidFill>
                <a:srgbClr val="000000"/>
              </a:solidFill>
            </a:rPr>
            <a:t>43 6</a:t>
          </a:r>
        </a:p>
      </xdr:txBody>
    </xdr:sp>
    <xdr:clientData/>
  </xdr:twoCellAnchor>
  <xdr:twoCellAnchor>
    <xdr:from>
      <xdr:col>6</xdr:col>
      <xdr:colOff>510926</xdr:colOff>
      <xdr:row>13</xdr:row>
      <xdr:rowOff>105375</xdr:rowOff>
    </xdr:from>
    <xdr:to>
      <xdr:col>8</xdr:col>
      <xdr:colOff>117373</xdr:colOff>
      <xdr:row>18</xdr:row>
      <xdr:rowOff>107801</xdr:rowOff>
    </xdr:to>
    <xdr:sp macro="" textlink="">
      <xdr:nvSpPr>
        <xdr:cNvPr id="23" name="44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 rot="5400000">
          <a:off x="4043447" y="2866206"/>
          <a:ext cx="906959" cy="823455"/>
        </a:xfrm>
        <a:prstGeom prst="hexagon">
          <a:avLst>
            <a:gd name="adj" fmla="val 26401"/>
            <a:gd name="vf" fmla="val 115470"/>
          </a:avLst>
        </a:prstGeom>
        <a:solidFill>
          <a:srgbClr val="00A3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t"/>
        <a:lstStyle/>
        <a:p>
          <a:pPr algn="l"/>
          <a:r>
            <a:rPr lang="en-US" sz="1100">
              <a:solidFill>
                <a:srgbClr val="000000"/>
              </a:solidFill>
            </a:rPr>
            <a:t>44 4</a:t>
          </a:r>
        </a:p>
      </xdr:txBody>
    </xdr:sp>
    <xdr:clientData/>
  </xdr:twoCellAnchor>
  <xdr:twoCellAnchor>
    <xdr:from>
      <xdr:col>3</xdr:col>
      <xdr:colOff>278716</xdr:colOff>
      <xdr:row>17</xdr:row>
      <xdr:rowOff>66400</xdr:rowOff>
    </xdr:from>
    <xdr:to>
      <xdr:col>4</xdr:col>
      <xdr:colOff>493225</xdr:colOff>
      <xdr:row>22</xdr:row>
      <xdr:rowOff>80965</xdr:rowOff>
    </xdr:to>
    <xdr:sp macro="" textlink="">
      <xdr:nvSpPr>
        <xdr:cNvPr id="24" name="51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 rot="5400000">
          <a:off x="1983651" y="3557353"/>
          <a:ext cx="919440" cy="824109"/>
        </a:xfrm>
        <a:prstGeom prst="hexagon">
          <a:avLst>
            <a:gd name="adj" fmla="val 26401"/>
            <a:gd name="vf" fmla="val 115470"/>
          </a:avLst>
        </a:prstGeom>
        <a:solidFill>
          <a:srgbClr val="B2D2A4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t"/>
        <a:lstStyle/>
        <a:p>
          <a:pPr algn="l"/>
          <a:r>
            <a:rPr lang="en-US" sz="1100">
              <a:solidFill>
                <a:srgbClr val="000000"/>
              </a:solidFill>
            </a:rPr>
            <a:t>51 3</a:t>
          </a:r>
        </a:p>
      </xdr:txBody>
    </xdr:sp>
    <xdr:clientData/>
  </xdr:twoCellAnchor>
  <xdr:twoCellAnchor>
    <xdr:from>
      <xdr:col>4</xdr:col>
      <xdr:colOff>493044</xdr:colOff>
      <xdr:row>17</xdr:row>
      <xdr:rowOff>72682</xdr:rowOff>
    </xdr:from>
    <xdr:to>
      <xdr:col>6</xdr:col>
      <xdr:colOff>99492</xdr:colOff>
      <xdr:row>22</xdr:row>
      <xdr:rowOff>87246</xdr:rowOff>
    </xdr:to>
    <xdr:sp macro="" textlink="">
      <xdr:nvSpPr>
        <xdr:cNvPr id="25" name="52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 rot="5400000">
          <a:off x="2808348" y="3562866"/>
          <a:ext cx="919439" cy="825648"/>
        </a:xfrm>
        <a:prstGeom prst="hexagon">
          <a:avLst>
            <a:gd name="adj" fmla="val 26401"/>
            <a:gd name="vf" fmla="val 115470"/>
          </a:avLst>
        </a:prstGeom>
        <a:solidFill>
          <a:srgbClr val="AA4A44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t"/>
        <a:lstStyle/>
        <a:p>
          <a:pPr algn="l"/>
          <a:r>
            <a:rPr lang="en-US" sz="1100">
              <a:solidFill>
                <a:srgbClr val="000000"/>
              </a:solidFill>
            </a:rPr>
            <a:t>52 9</a:t>
          </a:r>
        </a:p>
      </xdr:txBody>
    </xdr:sp>
    <xdr:clientData/>
  </xdr:twoCellAnchor>
  <xdr:twoCellAnchor>
    <xdr:from>
      <xdr:col>6</xdr:col>
      <xdr:colOff>104163</xdr:colOff>
      <xdr:row>17</xdr:row>
      <xdr:rowOff>69603</xdr:rowOff>
    </xdr:from>
    <xdr:to>
      <xdr:col>7</xdr:col>
      <xdr:colOff>318671</xdr:colOff>
      <xdr:row>22</xdr:row>
      <xdr:rowOff>84167</xdr:rowOff>
    </xdr:to>
    <xdr:sp macro="" textlink="">
      <xdr:nvSpPr>
        <xdr:cNvPr id="26" name="53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 rot="5400000">
          <a:off x="3637897" y="3560557"/>
          <a:ext cx="919439" cy="824108"/>
        </a:xfrm>
        <a:prstGeom prst="hexagon">
          <a:avLst>
            <a:gd name="adj" fmla="val 26401"/>
            <a:gd name="vf" fmla="val 115470"/>
          </a:avLst>
        </a:prstGeom>
        <a:solidFill>
          <a:srgbClr val="FFFAE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t"/>
        <a:lstStyle/>
        <a:p>
          <a:pPr algn="l"/>
          <a:r>
            <a:rPr lang="en-US" sz="1100">
              <a:solidFill>
                <a:srgbClr val="000000"/>
              </a:solidFill>
            </a:rPr>
            <a:t>53 3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</xdr:colOff>
          <xdr:row>1</xdr:row>
          <xdr:rowOff>99060</xdr:rowOff>
        </xdr:from>
        <xdr:to>
          <xdr:col>1</xdr:col>
          <xdr:colOff>556260</xdr:colOff>
          <xdr:row>3</xdr:row>
          <xdr:rowOff>15240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calculation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</xdr:colOff>
          <xdr:row>4</xdr:row>
          <xdr:rowOff>15240</xdr:rowOff>
        </xdr:from>
        <xdr:to>
          <xdr:col>1</xdr:col>
          <xdr:colOff>556260</xdr:colOff>
          <xdr:row>6</xdr:row>
          <xdr:rowOff>160020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E(x) by Resource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9</xdr:row>
          <xdr:rowOff>144780</xdr:rowOff>
        </xdr:from>
        <xdr:to>
          <xdr:col>1</xdr:col>
          <xdr:colOff>556260</xdr:colOff>
          <xdr:row>12</xdr:row>
          <xdr:rowOff>114300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E(x) by tile number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398302</xdr:colOff>
      <xdr:row>2</xdr:row>
      <xdr:rowOff>127000</xdr:rowOff>
    </xdr:from>
    <xdr:to>
      <xdr:col>4</xdr:col>
      <xdr:colOff>609300</xdr:colOff>
      <xdr:row>3</xdr:row>
      <xdr:rowOff>154214</xdr:rowOff>
    </xdr:to>
    <xdr:sp macro="" textlink="">
      <xdr:nvSpPr>
        <xdr:cNvPr id="5" name="A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762943" y="674772"/>
          <a:ext cx="210998" cy="208901"/>
        </a:xfrm>
        <a:prstGeom prst="ellipse">
          <a:avLst/>
        </a:prstGeom>
        <a:solidFill>
          <a:srgbClr val="F8796E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A</a:t>
          </a:r>
          <a:endParaRPr lang="en-US" sz="1200" b="1"/>
        </a:p>
      </xdr:txBody>
    </xdr:sp>
    <xdr:clientData/>
  </xdr:twoCellAnchor>
  <xdr:twoCellAnchor>
    <xdr:from>
      <xdr:col>5</xdr:col>
      <xdr:colOff>605970</xdr:colOff>
      <xdr:row>2</xdr:row>
      <xdr:rowOff>125185</xdr:rowOff>
    </xdr:from>
    <xdr:to>
      <xdr:col>6</xdr:col>
      <xdr:colOff>206826</xdr:colOff>
      <xdr:row>3</xdr:row>
      <xdr:rowOff>152399</xdr:rowOff>
    </xdr:to>
    <xdr:sp macro="" textlink="">
      <xdr:nvSpPr>
        <xdr:cNvPr id="6" name="B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3572327" y="669471"/>
          <a:ext cx="208642" cy="208642"/>
        </a:xfrm>
        <a:prstGeom prst="ellipse">
          <a:avLst/>
        </a:prstGeom>
        <a:solidFill>
          <a:srgbClr val="FDCA7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B</a:t>
          </a:r>
          <a:endParaRPr lang="en-US" sz="1200" b="1"/>
        </a:p>
      </xdr:txBody>
    </xdr:sp>
    <xdr:clientData/>
  </xdr:twoCellAnchor>
  <xdr:twoCellAnchor>
    <xdr:from>
      <xdr:col>4</xdr:col>
      <xdr:colOff>403857</xdr:colOff>
      <xdr:row>5</xdr:row>
      <xdr:rowOff>70775</xdr:rowOff>
    </xdr:from>
    <xdr:to>
      <xdr:col>5</xdr:col>
      <xdr:colOff>2357</xdr:colOff>
      <xdr:row>6</xdr:row>
      <xdr:rowOff>97988</xdr:rowOff>
    </xdr:to>
    <xdr:sp macro="" textlink="">
      <xdr:nvSpPr>
        <xdr:cNvPr id="27" name="E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2768498" y="1163608"/>
          <a:ext cx="208642" cy="208900"/>
        </a:xfrm>
        <a:prstGeom prst="ellipse">
          <a:avLst/>
        </a:prstGeom>
        <a:solidFill>
          <a:srgbClr val="FA997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E</a:t>
          </a:r>
          <a:endParaRPr lang="en-US" sz="1200" b="1"/>
        </a:p>
      </xdr:txBody>
    </xdr:sp>
    <xdr:clientData/>
  </xdr:twoCellAnchor>
  <xdr:twoCellAnchor>
    <xdr:from>
      <xdr:col>6</xdr:col>
      <xdr:colOff>11183</xdr:colOff>
      <xdr:row>5</xdr:row>
      <xdr:rowOff>76741</xdr:rowOff>
    </xdr:from>
    <xdr:to>
      <xdr:col>6</xdr:col>
      <xdr:colOff>219825</xdr:colOff>
      <xdr:row>6</xdr:row>
      <xdr:rowOff>103954</xdr:rowOff>
    </xdr:to>
    <xdr:sp macro="" textlink="">
      <xdr:nvSpPr>
        <xdr:cNvPr id="28" name="G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3596108" y="1169574"/>
          <a:ext cx="208642" cy="208900"/>
        </a:xfrm>
        <a:prstGeom prst="ellipse">
          <a:avLst/>
        </a:prstGeom>
        <a:solidFill>
          <a:srgbClr val="C0DD7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G</a:t>
          </a:r>
          <a:endParaRPr lang="en-US" sz="1200" b="1"/>
        </a:p>
      </xdr:txBody>
    </xdr:sp>
    <xdr:clientData/>
  </xdr:twoCellAnchor>
  <xdr:twoCellAnchor>
    <xdr:from>
      <xdr:col>7</xdr:col>
      <xdr:colOff>216971</xdr:colOff>
      <xdr:row>5</xdr:row>
      <xdr:rowOff>68049</xdr:rowOff>
    </xdr:from>
    <xdr:to>
      <xdr:col>7</xdr:col>
      <xdr:colOff>425613</xdr:colOff>
      <xdr:row>6</xdr:row>
      <xdr:rowOff>95262</xdr:rowOff>
    </xdr:to>
    <xdr:sp macro="" textlink="">
      <xdr:nvSpPr>
        <xdr:cNvPr id="30" name="I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4407971" y="1165329"/>
          <a:ext cx="208642" cy="210093"/>
        </a:xfrm>
        <a:prstGeom prst="ellipse">
          <a:avLst/>
        </a:prstGeom>
        <a:solidFill>
          <a:srgbClr val="FFEB8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I</a:t>
          </a:r>
          <a:endParaRPr lang="en-US" sz="1200" b="1"/>
        </a:p>
      </xdr:txBody>
    </xdr:sp>
    <xdr:clientData/>
  </xdr:twoCellAnchor>
  <xdr:twoCellAnchor>
    <xdr:from>
      <xdr:col>2</xdr:col>
      <xdr:colOff>391279</xdr:colOff>
      <xdr:row>9</xdr:row>
      <xdr:rowOff>33758</xdr:rowOff>
    </xdr:from>
    <xdr:to>
      <xdr:col>2</xdr:col>
      <xdr:colOff>599921</xdr:colOff>
      <xdr:row>10</xdr:row>
      <xdr:rowOff>60971</xdr:rowOff>
    </xdr:to>
    <xdr:sp macro="" textlink="">
      <xdr:nvSpPr>
        <xdr:cNvPr id="31" name="J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534279" y="1862558"/>
          <a:ext cx="208642" cy="210093"/>
        </a:xfrm>
        <a:prstGeom prst="ellipse">
          <a:avLst/>
        </a:prstGeom>
        <a:solidFill>
          <a:srgbClr val="FBAA7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J</a:t>
          </a:r>
          <a:endParaRPr lang="en-US" sz="1200" b="1"/>
        </a:p>
      </xdr:txBody>
    </xdr:sp>
    <xdr:clientData/>
  </xdr:twoCellAnchor>
  <xdr:twoCellAnchor>
    <xdr:from>
      <xdr:col>6</xdr:col>
      <xdr:colOff>414008</xdr:colOff>
      <xdr:row>6</xdr:row>
      <xdr:rowOff>111295</xdr:rowOff>
    </xdr:from>
    <xdr:to>
      <xdr:col>7</xdr:col>
      <xdr:colOff>13050</xdr:colOff>
      <xdr:row>7</xdr:row>
      <xdr:rowOff>138507</xdr:rowOff>
    </xdr:to>
    <xdr:sp macro="" textlink="">
      <xdr:nvSpPr>
        <xdr:cNvPr id="32" name="H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3996745" y="1386642"/>
          <a:ext cx="208642" cy="209023"/>
        </a:xfrm>
        <a:prstGeom prst="ellipse">
          <a:avLst/>
        </a:prstGeom>
        <a:solidFill>
          <a:srgbClr val="40BF5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H</a:t>
          </a:r>
          <a:endParaRPr lang="en-US" sz="1400" b="1"/>
        </a:p>
      </xdr:txBody>
    </xdr:sp>
    <xdr:clientData/>
  </xdr:twoCellAnchor>
  <xdr:twoCellAnchor>
    <xdr:from>
      <xdr:col>3</xdr:col>
      <xdr:colOff>605480</xdr:colOff>
      <xdr:row>6</xdr:row>
      <xdr:rowOff>96809</xdr:rowOff>
    </xdr:from>
    <xdr:to>
      <xdr:col>4</xdr:col>
      <xdr:colOff>203980</xdr:colOff>
      <xdr:row>7</xdr:row>
      <xdr:rowOff>124021</xdr:rowOff>
    </xdr:to>
    <xdr:sp macro="" textlink="">
      <xdr:nvSpPr>
        <xdr:cNvPr id="33" name="D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2359417" y="1372156"/>
          <a:ext cx="208100" cy="209023"/>
        </a:xfrm>
        <a:prstGeom prst="ellipse">
          <a:avLst/>
        </a:prstGeom>
        <a:solidFill>
          <a:srgbClr val="F9897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D</a:t>
          </a:r>
          <a:endParaRPr lang="en-US" sz="1200" b="1"/>
        </a:p>
      </xdr:txBody>
    </xdr:sp>
    <xdr:clientData/>
  </xdr:twoCellAnchor>
  <xdr:twoCellAnchor>
    <xdr:from>
      <xdr:col>5</xdr:col>
      <xdr:colOff>210281</xdr:colOff>
      <xdr:row>6</xdr:row>
      <xdr:rowOff>106552</xdr:rowOff>
    </xdr:from>
    <xdr:to>
      <xdr:col>5</xdr:col>
      <xdr:colOff>418923</xdr:colOff>
      <xdr:row>7</xdr:row>
      <xdr:rowOff>133764</xdr:rowOff>
    </xdr:to>
    <xdr:sp macro="" textlink="">
      <xdr:nvSpPr>
        <xdr:cNvPr id="34" name="F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3183418" y="1381899"/>
          <a:ext cx="208642" cy="209023"/>
        </a:xfrm>
        <a:prstGeom prst="ellipse">
          <a:avLst/>
        </a:prstGeom>
        <a:solidFill>
          <a:srgbClr val="FDCA7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F</a:t>
          </a:r>
          <a:endParaRPr lang="en-US" sz="1200" b="1"/>
        </a:p>
      </xdr:txBody>
    </xdr:sp>
    <xdr:clientData/>
  </xdr:twoCellAnchor>
  <xdr:twoCellAnchor>
    <xdr:from>
      <xdr:col>3</xdr:col>
      <xdr:colOff>192092</xdr:colOff>
      <xdr:row>10</xdr:row>
      <xdr:rowOff>63170</xdr:rowOff>
    </xdr:from>
    <xdr:to>
      <xdr:col>3</xdr:col>
      <xdr:colOff>400734</xdr:colOff>
      <xdr:row>11</xdr:row>
      <xdr:rowOff>90382</xdr:rowOff>
    </xdr:to>
    <xdr:sp macro="" textlink="">
      <xdr:nvSpPr>
        <xdr:cNvPr id="35" name="K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1946029" y="2065759"/>
          <a:ext cx="208642" cy="209023"/>
        </a:xfrm>
        <a:prstGeom prst="ellipse">
          <a:avLst/>
        </a:prstGeom>
        <a:solidFill>
          <a:srgbClr val="FFEB8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K</a:t>
          </a:r>
          <a:endParaRPr lang="en-US" sz="1200" b="1"/>
        </a:p>
      </xdr:txBody>
    </xdr:sp>
    <xdr:clientData/>
  </xdr:twoCellAnchor>
  <xdr:twoCellAnchor>
    <xdr:from>
      <xdr:col>3</xdr:col>
      <xdr:colOff>606509</xdr:colOff>
      <xdr:row>9</xdr:row>
      <xdr:rowOff>31084</xdr:rowOff>
    </xdr:from>
    <xdr:to>
      <xdr:col>4</xdr:col>
      <xdr:colOff>205551</xdr:colOff>
      <xdr:row>10</xdr:row>
      <xdr:rowOff>58297</xdr:rowOff>
    </xdr:to>
    <xdr:sp macro="" textlink="">
      <xdr:nvSpPr>
        <xdr:cNvPr id="36" name="L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2360446" y="1851863"/>
          <a:ext cx="208642" cy="209023"/>
        </a:xfrm>
        <a:prstGeom prst="ellipse">
          <a:avLst/>
        </a:prstGeom>
        <a:solidFill>
          <a:srgbClr val="FDCA7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L</a:t>
          </a:r>
          <a:endParaRPr lang="en-US" sz="1200" b="1"/>
        </a:p>
      </xdr:txBody>
    </xdr:sp>
    <xdr:clientData/>
  </xdr:twoCellAnchor>
  <xdr:twoCellAnchor>
    <xdr:from>
      <xdr:col>4</xdr:col>
      <xdr:colOff>402035</xdr:colOff>
      <xdr:row>10</xdr:row>
      <xdr:rowOff>71489</xdr:rowOff>
    </xdr:from>
    <xdr:to>
      <xdr:col>5</xdr:col>
      <xdr:colOff>1077</xdr:colOff>
      <xdr:row>11</xdr:row>
      <xdr:rowOff>98702</xdr:rowOff>
    </xdr:to>
    <xdr:sp macro="" textlink="">
      <xdr:nvSpPr>
        <xdr:cNvPr id="37" name="M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2762811" y="2072629"/>
          <a:ext cx="207930" cy="208811"/>
        </a:xfrm>
        <a:prstGeom prst="ellipse">
          <a:avLst/>
        </a:prstGeom>
        <a:solidFill>
          <a:srgbClr val="FDCA7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M</a:t>
          </a:r>
          <a:endParaRPr lang="en-US" sz="1200" b="1"/>
        </a:p>
      </xdr:txBody>
    </xdr:sp>
    <xdr:clientData/>
  </xdr:twoCellAnchor>
  <xdr:twoCellAnchor>
    <xdr:from>
      <xdr:col>5</xdr:col>
      <xdr:colOff>212603</xdr:colOff>
      <xdr:row>9</xdr:row>
      <xdr:rowOff>35168</xdr:rowOff>
    </xdr:from>
    <xdr:to>
      <xdr:col>5</xdr:col>
      <xdr:colOff>420533</xdr:colOff>
      <xdr:row>10</xdr:row>
      <xdr:rowOff>62381</xdr:rowOff>
    </xdr:to>
    <xdr:sp macro="" textlink="">
      <xdr:nvSpPr>
        <xdr:cNvPr id="40" name="N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3182267" y="1854710"/>
          <a:ext cx="207930" cy="208811"/>
        </a:xfrm>
        <a:prstGeom prst="ellipse">
          <a:avLst/>
        </a:prstGeom>
        <a:solidFill>
          <a:srgbClr val="FCBA7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N</a:t>
          </a:r>
          <a:endParaRPr lang="en-US" sz="1200" b="1"/>
        </a:p>
      </xdr:txBody>
    </xdr:sp>
    <xdr:clientData/>
  </xdr:twoCellAnchor>
  <xdr:twoCellAnchor>
    <xdr:from>
      <xdr:col>6</xdr:col>
      <xdr:colOff>5368</xdr:colOff>
      <xdr:row>10</xdr:row>
      <xdr:rowOff>62942</xdr:rowOff>
    </xdr:from>
    <xdr:to>
      <xdr:col>6</xdr:col>
      <xdr:colOff>213298</xdr:colOff>
      <xdr:row>11</xdr:row>
      <xdr:rowOff>90155</xdr:rowOff>
    </xdr:to>
    <xdr:sp macro="" textlink="">
      <xdr:nvSpPr>
        <xdr:cNvPr id="41" name="O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3583919" y="2064082"/>
          <a:ext cx="207930" cy="208811"/>
        </a:xfrm>
        <a:prstGeom prst="ellipse">
          <a:avLst/>
        </a:prstGeom>
        <a:solidFill>
          <a:srgbClr val="FDCA7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O</a:t>
          </a:r>
          <a:endParaRPr lang="en-US" sz="1200" b="1"/>
        </a:p>
      </xdr:txBody>
    </xdr:sp>
    <xdr:clientData/>
  </xdr:twoCellAnchor>
  <xdr:twoCellAnchor>
    <xdr:from>
      <xdr:col>6</xdr:col>
      <xdr:colOff>417933</xdr:colOff>
      <xdr:row>9</xdr:row>
      <xdr:rowOff>23888</xdr:rowOff>
    </xdr:from>
    <xdr:to>
      <xdr:col>7</xdr:col>
      <xdr:colOff>16263</xdr:colOff>
      <xdr:row>10</xdr:row>
      <xdr:rowOff>51100</xdr:rowOff>
    </xdr:to>
    <xdr:sp macro="" textlink="">
      <xdr:nvSpPr>
        <xdr:cNvPr id="42" name="P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4001791" y="1842856"/>
          <a:ext cx="207930" cy="209109"/>
        </a:xfrm>
        <a:prstGeom prst="ellipse">
          <a:avLst/>
        </a:prstGeom>
        <a:solidFill>
          <a:srgbClr val="C0DD78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P</a:t>
          </a:r>
          <a:endParaRPr lang="en-US" sz="1200" b="1"/>
        </a:p>
      </xdr:txBody>
    </xdr:sp>
    <xdr:clientData/>
  </xdr:twoCellAnchor>
  <xdr:twoCellAnchor>
    <xdr:from>
      <xdr:col>7</xdr:col>
      <xdr:colOff>216679</xdr:colOff>
      <xdr:row>10</xdr:row>
      <xdr:rowOff>67642</xdr:rowOff>
    </xdr:from>
    <xdr:to>
      <xdr:col>7</xdr:col>
      <xdr:colOff>424609</xdr:colOff>
      <xdr:row>11</xdr:row>
      <xdr:rowOff>94855</xdr:rowOff>
    </xdr:to>
    <xdr:sp macro="" textlink="">
      <xdr:nvSpPr>
        <xdr:cNvPr id="43" name="Q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4407679" y="2079322"/>
          <a:ext cx="207930" cy="210093"/>
        </a:xfrm>
        <a:prstGeom prst="ellipse">
          <a:avLst/>
        </a:prstGeom>
        <a:solidFill>
          <a:srgbClr val="40BF5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Q</a:t>
          </a:r>
          <a:endParaRPr lang="en-US" sz="1200" b="1"/>
        </a:p>
      </xdr:txBody>
    </xdr:sp>
    <xdr:clientData/>
  </xdr:twoCellAnchor>
  <xdr:twoCellAnchor>
    <xdr:from>
      <xdr:col>2</xdr:col>
      <xdr:colOff>390336</xdr:colOff>
      <xdr:row>14</xdr:row>
      <xdr:rowOff>25686</xdr:rowOff>
    </xdr:from>
    <xdr:to>
      <xdr:col>2</xdr:col>
      <xdr:colOff>599298</xdr:colOff>
      <xdr:row>15</xdr:row>
      <xdr:rowOff>52899</xdr:rowOff>
    </xdr:to>
    <xdr:sp macro="" textlink="">
      <xdr:nvSpPr>
        <xdr:cNvPr id="45" name="S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1532357" y="2760267"/>
          <a:ext cx="208962" cy="209388"/>
        </a:xfrm>
        <a:prstGeom prst="ellipse">
          <a:avLst/>
        </a:prstGeom>
        <a:solidFill>
          <a:srgbClr val="FFEB8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S</a:t>
          </a:r>
          <a:endParaRPr lang="en-US" sz="1200" b="1"/>
        </a:p>
      </xdr:txBody>
    </xdr:sp>
    <xdr:clientData/>
  </xdr:twoCellAnchor>
  <xdr:twoCellAnchor>
    <xdr:from>
      <xdr:col>3</xdr:col>
      <xdr:colOff>605886</xdr:colOff>
      <xdr:row>14</xdr:row>
      <xdr:rowOff>23012</xdr:rowOff>
    </xdr:from>
    <xdr:to>
      <xdr:col>4</xdr:col>
      <xdr:colOff>204608</xdr:colOff>
      <xdr:row>15</xdr:row>
      <xdr:rowOff>50225</xdr:rowOff>
    </xdr:to>
    <xdr:sp macro="" textlink="">
      <xdr:nvSpPr>
        <xdr:cNvPr id="46" name="U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>
        <a:xfrm>
          <a:off x="2357115" y="2757593"/>
          <a:ext cx="207930" cy="209388"/>
        </a:xfrm>
        <a:prstGeom prst="ellipse">
          <a:avLst/>
        </a:prstGeom>
        <a:solidFill>
          <a:srgbClr val="40BF5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U</a:t>
          </a:r>
          <a:endParaRPr lang="en-US" sz="1200" b="1"/>
        </a:p>
      </xdr:txBody>
    </xdr:sp>
    <xdr:clientData/>
  </xdr:twoCellAnchor>
  <xdr:twoCellAnchor>
    <xdr:from>
      <xdr:col>5</xdr:col>
      <xdr:colOff>211660</xdr:colOff>
      <xdr:row>14</xdr:row>
      <xdr:rowOff>27096</xdr:rowOff>
    </xdr:from>
    <xdr:to>
      <xdr:col>5</xdr:col>
      <xdr:colOff>419590</xdr:colOff>
      <xdr:row>15</xdr:row>
      <xdr:rowOff>54309</xdr:rowOff>
    </xdr:to>
    <xdr:sp macro="" textlink="">
      <xdr:nvSpPr>
        <xdr:cNvPr id="47" name="W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>
          <a:off x="3181305" y="2761677"/>
          <a:ext cx="207930" cy="209388"/>
        </a:xfrm>
        <a:prstGeom prst="ellipse">
          <a:avLst/>
        </a:prstGeom>
        <a:solidFill>
          <a:srgbClr val="FFEB8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W</a:t>
          </a:r>
          <a:endParaRPr lang="en-US" sz="1200" b="1"/>
        </a:p>
      </xdr:txBody>
    </xdr:sp>
    <xdr:clientData/>
  </xdr:twoCellAnchor>
  <xdr:twoCellAnchor>
    <xdr:from>
      <xdr:col>6</xdr:col>
      <xdr:colOff>416990</xdr:colOff>
      <xdr:row>14</xdr:row>
      <xdr:rowOff>15816</xdr:rowOff>
    </xdr:from>
    <xdr:to>
      <xdr:col>7</xdr:col>
      <xdr:colOff>15320</xdr:colOff>
      <xdr:row>15</xdr:row>
      <xdr:rowOff>43028</xdr:rowOff>
    </xdr:to>
    <xdr:sp macro="" textlink="">
      <xdr:nvSpPr>
        <xdr:cNvPr id="48" name="Y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>
        <a:xfrm>
          <a:off x="3995843" y="2750397"/>
          <a:ext cx="207539" cy="209387"/>
        </a:xfrm>
        <a:prstGeom prst="ellipse">
          <a:avLst/>
        </a:prstGeom>
        <a:solidFill>
          <a:srgbClr val="80CE6B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Y</a:t>
          </a:r>
          <a:endParaRPr lang="en-US" sz="1200" b="1"/>
        </a:p>
      </xdr:txBody>
    </xdr:sp>
    <xdr:clientData/>
  </xdr:twoCellAnchor>
  <xdr:twoCellAnchor>
    <xdr:from>
      <xdr:col>3</xdr:col>
      <xdr:colOff>182428</xdr:colOff>
      <xdr:row>12</xdr:row>
      <xdr:rowOff>176899</xdr:rowOff>
    </xdr:from>
    <xdr:to>
      <xdr:col>3</xdr:col>
      <xdr:colOff>391070</xdr:colOff>
      <xdr:row>14</xdr:row>
      <xdr:rowOff>20181</xdr:rowOff>
    </xdr:to>
    <xdr:sp macro="" textlink="">
      <xdr:nvSpPr>
        <xdr:cNvPr id="50" name="T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1935028" y="2554339"/>
          <a:ext cx="208642" cy="209042"/>
        </a:xfrm>
        <a:prstGeom prst="ellipse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T</a:t>
          </a:r>
          <a:endParaRPr lang="en-US" sz="1200" b="1"/>
        </a:p>
      </xdr:txBody>
    </xdr:sp>
    <xdr:clientData/>
  </xdr:twoCellAnchor>
  <xdr:twoCellAnchor>
    <xdr:from>
      <xdr:col>4</xdr:col>
      <xdr:colOff>399416</xdr:colOff>
      <xdr:row>12</xdr:row>
      <xdr:rowOff>178732</xdr:rowOff>
    </xdr:from>
    <xdr:to>
      <xdr:col>4</xdr:col>
      <xdr:colOff>607516</xdr:colOff>
      <xdr:row>14</xdr:row>
      <xdr:rowOff>22014</xdr:rowOff>
    </xdr:to>
    <xdr:sp macro="" textlink="">
      <xdr:nvSpPr>
        <xdr:cNvPr id="51" name="V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2761616" y="2556172"/>
          <a:ext cx="208100" cy="209042"/>
        </a:xfrm>
        <a:prstGeom prst="ellipse">
          <a:avLst/>
        </a:prstGeom>
        <a:solidFill>
          <a:srgbClr val="FEDA8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V</a:t>
          </a:r>
          <a:endParaRPr lang="en-US" sz="1200" b="1"/>
        </a:p>
      </xdr:txBody>
    </xdr:sp>
    <xdr:clientData/>
  </xdr:twoCellAnchor>
  <xdr:twoCellAnchor>
    <xdr:from>
      <xdr:col>6</xdr:col>
      <xdr:colOff>6742</xdr:colOff>
      <xdr:row>13</xdr:row>
      <xdr:rowOff>1818</xdr:rowOff>
    </xdr:from>
    <xdr:to>
      <xdr:col>6</xdr:col>
      <xdr:colOff>215384</xdr:colOff>
      <xdr:row>14</xdr:row>
      <xdr:rowOff>27980</xdr:rowOff>
    </xdr:to>
    <xdr:sp macro="" textlink="">
      <xdr:nvSpPr>
        <xdr:cNvPr id="52" name="X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3588142" y="2562138"/>
          <a:ext cx="208642" cy="209042"/>
        </a:xfrm>
        <a:prstGeom prst="ellipse">
          <a:avLst/>
        </a:prstGeom>
        <a:solidFill>
          <a:srgbClr val="FFEB8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X</a:t>
          </a:r>
          <a:endParaRPr lang="en-US" sz="1200" b="1"/>
        </a:p>
      </xdr:txBody>
    </xdr:sp>
    <xdr:clientData/>
  </xdr:twoCellAnchor>
  <xdr:twoCellAnchor>
    <xdr:from>
      <xdr:col>7</xdr:col>
      <xdr:colOff>212530</xdr:colOff>
      <xdr:row>12</xdr:row>
      <xdr:rowOff>176006</xdr:rowOff>
    </xdr:from>
    <xdr:to>
      <xdr:col>7</xdr:col>
      <xdr:colOff>421172</xdr:colOff>
      <xdr:row>14</xdr:row>
      <xdr:rowOff>19288</xdr:rowOff>
    </xdr:to>
    <xdr:sp macro="" textlink="">
      <xdr:nvSpPr>
        <xdr:cNvPr id="53" name="Z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4403530" y="2553446"/>
          <a:ext cx="208642" cy="209042"/>
        </a:xfrm>
        <a:prstGeom prst="ellipse">
          <a:avLst/>
        </a:prstGeom>
        <a:solidFill>
          <a:srgbClr val="80CE6B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Z</a:t>
          </a:r>
        </a:p>
      </xdr:txBody>
    </xdr:sp>
    <xdr:clientData/>
  </xdr:twoCellAnchor>
  <xdr:twoCellAnchor>
    <xdr:from>
      <xdr:col>3</xdr:col>
      <xdr:colOff>187651</xdr:colOff>
      <xdr:row>17</xdr:row>
      <xdr:rowOff>171127</xdr:rowOff>
    </xdr:from>
    <xdr:to>
      <xdr:col>3</xdr:col>
      <xdr:colOff>396293</xdr:colOff>
      <xdr:row>19</xdr:row>
      <xdr:rowOff>14408</xdr:rowOff>
    </xdr:to>
    <xdr:sp macro="" textlink="">
      <xdr:nvSpPr>
        <xdr:cNvPr id="54" name="2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1940251" y="3462967"/>
          <a:ext cx="208642" cy="209041"/>
        </a:xfrm>
        <a:prstGeom prst="ellipse">
          <a:avLst/>
        </a:prstGeom>
        <a:solidFill>
          <a:srgbClr val="FDCA7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2</a:t>
          </a:r>
          <a:endParaRPr lang="en-US" sz="1200" b="1"/>
        </a:p>
      </xdr:txBody>
    </xdr:sp>
    <xdr:clientData/>
  </xdr:twoCellAnchor>
  <xdr:twoCellAnchor>
    <xdr:from>
      <xdr:col>4</xdr:col>
      <xdr:colOff>391821</xdr:colOff>
      <xdr:row>17</xdr:row>
      <xdr:rowOff>179446</xdr:rowOff>
    </xdr:from>
    <xdr:to>
      <xdr:col>4</xdr:col>
      <xdr:colOff>600463</xdr:colOff>
      <xdr:row>19</xdr:row>
      <xdr:rowOff>22728</xdr:rowOff>
    </xdr:to>
    <xdr:sp macro="" textlink="">
      <xdr:nvSpPr>
        <xdr:cNvPr id="55" name="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>
        <a:xfrm>
          <a:off x="2758639" y="3683491"/>
          <a:ext cx="208642" cy="212737"/>
        </a:xfrm>
        <a:prstGeom prst="ellipse">
          <a:avLst/>
        </a:prstGeom>
        <a:solidFill>
          <a:srgbClr val="FFEB8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4</a:t>
          </a:r>
          <a:endParaRPr lang="en-US" sz="1200" b="1"/>
        </a:p>
      </xdr:txBody>
    </xdr:sp>
    <xdr:clientData/>
  </xdr:twoCellAnchor>
  <xdr:twoCellAnchor>
    <xdr:from>
      <xdr:col>6</xdr:col>
      <xdr:colOff>927</xdr:colOff>
      <xdr:row>17</xdr:row>
      <xdr:rowOff>170899</xdr:rowOff>
    </xdr:from>
    <xdr:to>
      <xdr:col>6</xdr:col>
      <xdr:colOff>208857</xdr:colOff>
      <xdr:row>19</xdr:row>
      <xdr:rowOff>14181</xdr:rowOff>
    </xdr:to>
    <xdr:sp macro="" textlink="">
      <xdr:nvSpPr>
        <xdr:cNvPr id="56" name="6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>
        <a:xfrm>
          <a:off x="3582327" y="3462739"/>
          <a:ext cx="207930" cy="209042"/>
        </a:xfrm>
        <a:prstGeom prst="ellipse">
          <a:avLst/>
        </a:prstGeom>
        <a:solidFill>
          <a:srgbClr val="80CE6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6</a:t>
          </a:r>
          <a:endParaRPr lang="en-US" sz="1200" b="1"/>
        </a:p>
      </xdr:txBody>
    </xdr:sp>
    <xdr:clientData/>
  </xdr:twoCellAnchor>
  <xdr:twoCellAnchor>
    <xdr:from>
      <xdr:col>7</xdr:col>
      <xdr:colOff>212238</xdr:colOff>
      <xdr:row>17</xdr:row>
      <xdr:rowOff>175599</xdr:rowOff>
    </xdr:from>
    <xdr:to>
      <xdr:col>7</xdr:col>
      <xdr:colOff>420168</xdr:colOff>
      <xdr:row>19</xdr:row>
      <xdr:rowOff>18881</xdr:rowOff>
    </xdr:to>
    <xdr:sp macro="" textlink="">
      <xdr:nvSpPr>
        <xdr:cNvPr id="57" name="8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4403238" y="3467439"/>
          <a:ext cx="207930" cy="209042"/>
        </a:xfrm>
        <a:prstGeom prst="ellipse">
          <a:avLst/>
        </a:prstGeom>
        <a:solidFill>
          <a:srgbClr val="FBAA7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8</a:t>
          </a:r>
          <a:endParaRPr lang="en-US" sz="1200" b="1"/>
        </a:p>
      </xdr:txBody>
    </xdr:sp>
    <xdr:clientData/>
  </xdr:twoCellAnchor>
  <xdr:twoCellAnchor>
    <xdr:from>
      <xdr:col>4</xdr:col>
      <xdr:colOff>393345</xdr:colOff>
      <xdr:row>20</xdr:row>
      <xdr:rowOff>106245</xdr:rowOff>
    </xdr:from>
    <xdr:to>
      <xdr:col>4</xdr:col>
      <xdr:colOff>606402</xdr:colOff>
      <xdr:row>21</xdr:row>
      <xdr:rowOff>133458</xdr:rowOff>
    </xdr:to>
    <xdr:sp macro="" textlink="">
      <xdr:nvSpPr>
        <xdr:cNvPr id="58" name="9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2753580" y="3957729"/>
          <a:ext cx="213057" cy="210617"/>
        </a:xfrm>
        <a:prstGeom prst="ellipse">
          <a:avLst/>
        </a:prstGeom>
        <a:solidFill>
          <a:srgbClr val="FCBA7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9</a:t>
          </a:r>
          <a:endParaRPr lang="en-US" sz="1200" b="1"/>
        </a:p>
      </xdr:txBody>
    </xdr:sp>
    <xdr:clientData/>
  </xdr:twoCellAnchor>
  <xdr:twoCellAnchor>
    <xdr:from>
      <xdr:col>5</xdr:col>
      <xdr:colOff>488772</xdr:colOff>
      <xdr:row>20</xdr:row>
      <xdr:rowOff>104429</xdr:rowOff>
    </xdr:from>
    <xdr:to>
      <xdr:col>6</xdr:col>
      <xdr:colOff>342899</xdr:colOff>
      <xdr:row>21</xdr:row>
      <xdr:rowOff>176211</xdr:rowOff>
    </xdr:to>
    <xdr:sp macro="" textlink="">
      <xdr:nvSpPr>
        <xdr:cNvPr id="59" name="10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3460572" y="4090642"/>
          <a:ext cx="463727" cy="252757"/>
        </a:xfrm>
        <a:prstGeom prst="ellipse">
          <a:avLst/>
        </a:prstGeom>
        <a:solidFill>
          <a:srgbClr val="FCBA7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10</a:t>
          </a:r>
          <a:endParaRPr lang="en-US" sz="1200" b="1"/>
        </a:p>
      </xdr:txBody>
    </xdr:sp>
    <xdr:clientData/>
  </xdr:twoCellAnchor>
  <xdr:twoCellAnchor>
    <xdr:from>
      <xdr:col>3</xdr:col>
      <xdr:colOff>192848</xdr:colOff>
      <xdr:row>5</xdr:row>
      <xdr:rowOff>63620</xdr:rowOff>
    </xdr:from>
    <xdr:to>
      <xdr:col>3</xdr:col>
      <xdr:colOff>403304</xdr:colOff>
      <xdr:row>6</xdr:row>
      <xdr:rowOff>90834</xdr:rowOff>
    </xdr:to>
    <xdr:sp macro="" textlink="">
      <xdr:nvSpPr>
        <xdr:cNvPr id="60" name="C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1943107" y="1158507"/>
          <a:ext cx="210456" cy="209262"/>
        </a:xfrm>
        <a:prstGeom prst="ellipse">
          <a:avLst/>
        </a:prstGeom>
        <a:solidFill>
          <a:srgbClr val="F8696B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C</a:t>
          </a:r>
          <a:endParaRPr lang="en-US" sz="1200" b="1"/>
        </a:p>
      </xdr:txBody>
    </xdr:sp>
    <xdr:clientData/>
  </xdr:twoCellAnchor>
  <xdr:twoCellAnchor>
    <xdr:from>
      <xdr:col>8</xdr:col>
      <xdr:colOff>21493</xdr:colOff>
      <xdr:row>9</xdr:row>
      <xdr:rowOff>32518</xdr:rowOff>
    </xdr:from>
    <xdr:to>
      <xdr:col>8</xdr:col>
      <xdr:colOff>229423</xdr:colOff>
      <xdr:row>10</xdr:row>
      <xdr:rowOff>59731</xdr:rowOff>
    </xdr:to>
    <xdr:sp macro="" textlink="">
      <xdr:nvSpPr>
        <xdr:cNvPr id="61" name="R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>
        <a:xfrm>
          <a:off x="4818983" y="2054151"/>
          <a:ext cx="207930" cy="211233"/>
        </a:xfrm>
        <a:prstGeom prst="ellipse">
          <a:avLst/>
        </a:prstGeom>
        <a:solidFill>
          <a:srgbClr val="FFEB8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R</a:t>
          </a:r>
          <a:endParaRPr lang="en-US" sz="1200" b="1"/>
        </a:p>
      </xdr:txBody>
    </xdr:sp>
    <xdr:clientData/>
  </xdr:twoCellAnchor>
  <xdr:twoCellAnchor>
    <xdr:from>
      <xdr:col>8</xdr:col>
      <xdr:colOff>8993</xdr:colOff>
      <xdr:row>14</xdr:row>
      <xdr:rowOff>44403</xdr:rowOff>
    </xdr:from>
    <xdr:to>
      <xdr:col>8</xdr:col>
      <xdr:colOff>216923</xdr:colOff>
      <xdr:row>15</xdr:row>
      <xdr:rowOff>71616</xdr:rowOff>
    </xdr:to>
    <xdr:sp macro="" textlink="">
      <xdr:nvSpPr>
        <xdr:cNvPr id="62" name="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>
        <a:xfrm>
          <a:off x="4815961" y="2962841"/>
          <a:ext cx="207930" cy="209478"/>
        </a:xfrm>
        <a:prstGeom prst="ellipse">
          <a:avLst/>
        </a:prstGeom>
        <a:solidFill>
          <a:srgbClr val="FEDA8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1</a:t>
          </a:r>
        </a:p>
      </xdr:txBody>
    </xdr:sp>
    <xdr:clientData/>
  </xdr:twoCellAnchor>
  <xdr:twoCellAnchor>
    <xdr:from>
      <xdr:col>3</xdr:col>
      <xdr:colOff>598950</xdr:colOff>
      <xdr:row>16</xdr:row>
      <xdr:rowOff>141693</xdr:rowOff>
    </xdr:from>
    <xdr:to>
      <xdr:col>4</xdr:col>
      <xdr:colOff>196144</xdr:colOff>
      <xdr:row>17</xdr:row>
      <xdr:rowOff>168906</xdr:rowOff>
    </xdr:to>
    <xdr:sp macro="" textlink="">
      <xdr:nvSpPr>
        <xdr:cNvPr id="63" name="3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>
        <a:xfrm>
          <a:off x="2348330" y="3425806"/>
          <a:ext cx="205363" cy="209663"/>
        </a:xfrm>
        <a:prstGeom prst="ellipse">
          <a:avLst/>
        </a:prstGeom>
        <a:solidFill>
          <a:srgbClr val="C0DD7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3</a:t>
          </a:r>
        </a:p>
      </xdr:txBody>
    </xdr:sp>
    <xdr:clientData/>
  </xdr:twoCellAnchor>
  <xdr:twoCellAnchor>
    <xdr:from>
      <xdr:col>5</xdr:col>
      <xdr:colOff>203196</xdr:colOff>
      <xdr:row>16</xdr:row>
      <xdr:rowOff>145777</xdr:rowOff>
    </xdr:from>
    <xdr:to>
      <xdr:col>5</xdr:col>
      <xdr:colOff>411126</xdr:colOff>
      <xdr:row>17</xdr:row>
      <xdr:rowOff>172990</xdr:rowOff>
    </xdr:to>
    <xdr:sp macro="" textlink="">
      <xdr:nvSpPr>
        <xdr:cNvPr id="1024" name="5">
          <a:extLst>
            <a:ext uri="{FF2B5EF4-FFF2-40B4-BE49-F238E27FC236}">
              <a16:creationId xmlns:a16="http://schemas.microsoft.com/office/drawing/2014/main" id="{00000000-0008-0000-0000-000000040000}"/>
            </a:ext>
          </a:extLst>
        </xdr:cNvPr>
        <xdr:cNvSpPr/>
      </xdr:nvSpPr>
      <xdr:spPr>
        <a:xfrm>
          <a:off x="3168914" y="3429890"/>
          <a:ext cx="207930" cy="209663"/>
        </a:xfrm>
        <a:prstGeom prst="ellipse">
          <a:avLst/>
        </a:prstGeom>
        <a:solidFill>
          <a:srgbClr val="40BF5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5</a:t>
          </a:r>
          <a:endParaRPr lang="en-US" sz="1200" b="1"/>
        </a:p>
      </xdr:txBody>
    </xdr:sp>
    <xdr:clientData/>
  </xdr:twoCellAnchor>
  <xdr:twoCellAnchor>
    <xdr:from>
      <xdr:col>6</xdr:col>
      <xdr:colOff>408526</xdr:colOff>
      <xdr:row>16</xdr:row>
      <xdr:rowOff>134497</xdr:rowOff>
    </xdr:from>
    <xdr:to>
      <xdr:col>7</xdr:col>
      <xdr:colOff>6856</xdr:colOff>
      <xdr:row>17</xdr:row>
      <xdr:rowOff>161709</xdr:rowOff>
    </xdr:to>
    <xdr:sp macro="" textlink="">
      <xdr:nvSpPr>
        <xdr:cNvPr id="1026" name="7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>
        <a:xfrm>
          <a:off x="3982413" y="3418610"/>
          <a:ext cx="206499" cy="209662"/>
        </a:xfrm>
        <a:prstGeom prst="ellipse">
          <a:avLst/>
        </a:prstGeom>
        <a:solidFill>
          <a:srgbClr val="C0DD7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7</a:t>
          </a:r>
          <a:endParaRPr lang="en-US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106680</xdr:colOff>
          <xdr:row>16</xdr:row>
          <xdr:rowOff>22860</xdr:rowOff>
        </xdr:from>
        <xdr:to>
          <xdr:col>1</xdr:col>
          <xdr:colOff>525780</xdr:colOff>
          <xdr:row>18</xdr:row>
          <xdr:rowOff>144780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nodes by number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</xdr:colOff>
          <xdr:row>13</xdr:row>
          <xdr:rowOff>22860</xdr:rowOff>
        </xdr:from>
        <xdr:to>
          <xdr:col>1</xdr:col>
          <xdr:colOff>541020</xdr:colOff>
          <xdr:row>15</xdr:row>
          <xdr:rowOff>137160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nodes by E(x)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</xdr:colOff>
          <xdr:row>7</xdr:row>
          <xdr:rowOff>60960</xdr:rowOff>
        </xdr:from>
        <xdr:to>
          <xdr:col>1</xdr:col>
          <xdr:colOff>548640</xdr:colOff>
          <xdr:row>9</xdr:row>
          <xdr:rowOff>114300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E(x) by value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129540</xdr:colOff>
          <xdr:row>19</xdr:row>
          <xdr:rowOff>45720</xdr:rowOff>
        </xdr:from>
        <xdr:to>
          <xdr:col>1</xdr:col>
          <xdr:colOff>556260</xdr:colOff>
          <xdr:row>21</xdr:row>
          <xdr:rowOff>175260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Calculate Player Values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41"/>
  <sheetViews>
    <sheetView tabSelected="1" topLeftCell="A2" zoomScale="70" zoomScaleNormal="70" workbookViewId="0">
      <selection activeCell="R38" sqref="R38"/>
    </sheetView>
  </sheetViews>
  <sheetFormatPr defaultRowHeight="14.4" x14ac:dyDescent="0.3"/>
  <cols>
    <col min="1" max="1" width="14.21875" customWidth="1"/>
    <col min="9" max="9" width="10.88671875" customWidth="1"/>
    <col min="10" max="10" width="9" bestFit="1" customWidth="1"/>
    <col min="11" max="11" width="8.77734375" bestFit="1" customWidth="1"/>
    <col min="13" max="13" width="14.21875" bestFit="1" customWidth="1"/>
    <col min="14" max="14" width="14.44140625" customWidth="1"/>
    <col min="15" max="15" width="11.21875" customWidth="1"/>
    <col min="16" max="16" width="8.44140625" customWidth="1"/>
    <col min="17" max="17" width="8.109375" hidden="1" customWidth="1"/>
    <col min="18" max="18" width="14" customWidth="1"/>
    <col min="19" max="19" width="11.77734375" customWidth="1"/>
    <col min="20" max="20" width="11.5546875" customWidth="1"/>
    <col min="21" max="21" width="12" customWidth="1"/>
    <col min="22" max="22" width="11.5546875" customWidth="1"/>
    <col min="23" max="23" width="12.5546875" customWidth="1"/>
    <col min="24" max="24" width="11.21875" customWidth="1"/>
  </cols>
  <sheetData>
    <row r="1" spans="1:26" x14ac:dyDescent="0.3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7"/>
      <c r="P1" s="17"/>
      <c r="Q1" s="16"/>
      <c r="R1" s="16"/>
      <c r="S1" s="16"/>
      <c r="T1" s="16"/>
      <c r="U1" s="16"/>
      <c r="V1" s="16"/>
      <c r="W1" s="16"/>
      <c r="X1" s="16"/>
      <c r="Y1" s="16"/>
      <c r="Z1" s="16">
        <v>5</v>
      </c>
    </row>
    <row r="2" spans="1:26" ht="57.6" x14ac:dyDescent="0.3">
      <c r="A2" s="16"/>
      <c r="B2" s="16"/>
      <c r="C2" s="16"/>
      <c r="D2" s="16"/>
      <c r="E2" s="16"/>
      <c r="F2" s="16"/>
      <c r="G2" s="16"/>
      <c r="H2" s="16"/>
      <c r="I2" s="16"/>
      <c r="J2" s="16" t="s">
        <v>0</v>
      </c>
      <c r="K2" s="1" t="s">
        <v>2</v>
      </c>
      <c r="L2" s="1" t="s">
        <v>1</v>
      </c>
      <c r="M2" s="1" t="s">
        <v>14</v>
      </c>
      <c r="N2" s="2" t="s">
        <v>17</v>
      </c>
      <c r="O2" s="16"/>
      <c r="P2" s="1" t="s">
        <v>19</v>
      </c>
      <c r="Q2" s="1" t="s">
        <v>44</v>
      </c>
      <c r="R2" s="10" t="s">
        <v>18</v>
      </c>
      <c r="S2" s="2" t="s">
        <v>43</v>
      </c>
      <c r="T2" s="2" t="s">
        <v>45</v>
      </c>
      <c r="U2" s="2" t="s">
        <v>46</v>
      </c>
      <c r="V2" s="2" t="s">
        <v>47</v>
      </c>
      <c r="W2" s="2" t="s">
        <v>48</v>
      </c>
      <c r="X2" s="2" t="s">
        <v>49</v>
      </c>
      <c r="Y2" s="16"/>
      <c r="Z2" s="16"/>
    </row>
    <row r="3" spans="1:26" x14ac:dyDescent="0.3">
      <c r="A3" s="16"/>
      <c r="B3" s="16"/>
      <c r="C3" s="16"/>
      <c r="D3" s="16"/>
      <c r="E3" s="16"/>
      <c r="F3" s="16"/>
      <c r="G3" s="16"/>
      <c r="H3" s="16"/>
      <c r="I3" s="16"/>
      <c r="J3" s="9">
        <v>11</v>
      </c>
      <c r="K3" s="18" t="s">
        <v>9</v>
      </c>
      <c r="L3" s="18"/>
      <c r="M3" s="19"/>
      <c r="N3" s="4"/>
      <c r="O3" s="16"/>
      <c r="P3" s="8" t="s">
        <v>21</v>
      </c>
      <c r="Q3" s="8">
        <v>2</v>
      </c>
      <c r="R3" s="19">
        <v>2.7777777777777776E-2</v>
      </c>
      <c r="S3" s="19">
        <v>0</v>
      </c>
      <c r="T3" s="16"/>
      <c r="U3" s="16"/>
      <c r="V3" s="16">
        <v>2.7777777777777776E-2</v>
      </c>
      <c r="W3" s="16"/>
      <c r="X3" s="16"/>
      <c r="Y3" s="16"/>
      <c r="Z3" s="16"/>
    </row>
    <row r="4" spans="1:26" x14ac:dyDescent="0.3">
      <c r="A4" s="16"/>
      <c r="B4" s="16"/>
      <c r="C4" s="16"/>
      <c r="D4" s="16"/>
      <c r="E4" s="16"/>
      <c r="F4" s="16"/>
      <c r="G4" s="16"/>
      <c r="H4" s="16"/>
      <c r="I4" s="16"/>
      <c r="J4" s="9">
        <v>12</v>
      </c>
      <c r="K4" s="18" t="s">
        <v>10</v>
      </c>
      <c r="L4" s="18">
        <v>11</v>
      </c>
      <c r="M4" s="19">
        <v>5.5555555555555552E-2</v>
      </c>
      <c r="N4" s="4">
        <v>0.16666666666666666</v>
      </c>
      <c r="O4" s="16"/>
      <c r="P4" s="8" t="s">
        <v>20</v>
      </c>
      <c r="Q4" s="8">
        <v>0</v>
      </c>
      <c r="R4" s="19">
        <v>5.5555555555555552E-2</v>
      </c>
      <c r="S4" s="19">
        <v>0</v>
      </c>
      <c r="T4" s="16"/>
      <c r="U4" s="16">
        <v>5.5555555555555552E-2</v>
      </c>
      <c r="V4" s="16"/>
      <c r="W4" s="16"/>
      <c r="X4" s="16"/>
      <c r="Y4" s="16"/>
      <c r="Z4" s="16"/>
    </row>
    <row r="5" spans="1:26" x14ac:dyDescent="0.3">
      <c r="A5" s="16"/>
      <c r="B5" s="16"/>
      <c r="C5" s="16"/>
      <c r="D5" s="16"/>
      <c r="E5" s="16"/>
      <c r="F5" s="16"/>
      <c r="G5" s="16"/>
      <c r="H5" s="16"/>
      <c r="I5" s="16"/>
      <c r="J5" s="9">
        <v>13</v>
      </c>
      <c r="K5" s="18" t="s">
        <v>11</v>
      </c>
      <c r="L5" s="18">
        <v>8</v>
      </c>
      <c r="M5" s="19">
        <v>0.1388888888888889</v>
      </c>
      <c r="N5" s="4">
        <v>0.41666666666666669</v>
      </c>
      <c r="O5" s="16"/>
      <c r="P5" s="8" t="s">
        <v>9</v>
      </c>
      <c r="Q5" s="8">
        <v>3</v>
      </c>
      <c r="R5" s="19">
        <v>8.3333333333333329E-2</v>
      </c>
      <c r="S5" s="19">
        <v>0</v>
      </c>
      <c r="T5" s="16">
        <v>5.5555555555555552E-2</v>
      </c>
      <c r="U5" s="16"/>
      <c r="V5" s="16">
        <v>2.7777777777777776E-2</v>
      </c>
      <c r="W5" s="16"/>
      <c r="X5" s="16"/>
      <c r="Y5" s="16"/>
      <c r="Z5" s="16"/>
    </row>
    <row r="6" spans="1:26" x14ac:dyDescent="0.3">
      <c r="A6" s="16"/>
      <c r="B6" s="16"/>
      <c r="C6" s="16"/>
      <c r="D6" s="16"/>
      <c r="E6" s="16"/>
      <c r="F6" s="16"/>
      <c r="G6" s="16"/>
      <c r="H6" s="16"/>
      <c r="I6" s="16"/>
      <c r="J6" s="9">
        <v>21</v>
      </c>
      <c r="K6" s="18" t="s">
        <v>12</v>
      </c>
      <c r="L6" s="18">
        <v>12</v>
      </c>
      <c r="M6" s="19">
        <v>2.7777777777777776E-2</v>
      </c>
      <c r="N6" s="4">
        <v>9.0909090909090898E-2</v>
      </c>
      <c r="O6" s="16"/>
      <c r="P6" s="9" t="s">
        <v>22</v>
      </c>
      <c r="Q6" s="9">
        <v>4</v>
      </c>
      <c r="R6" s="19">
        <v>0.1111111111111111</v>
      </c>
      <c r="S6" s="19">
        <v>0</v>
      </c>
      <c r="T6" s="16">
        <v>5.5555555555555552E-2</v>
      </c>
      <c r="U6" s="16">
        <v>5.5555555555555552E-2</v>
      </c>
      <c r="V6" s="16"/>
      <c r="W6" s="16"/>
      <c r="X6" s="16"/>
      <c r="Y6" s="16"/>
      <c r="Z6" s="16"/>
    </row>
    <row r="7" spans="1:26" x14ac:dyDescent="0.3">
      <c r="A7" s="16"/>
      <c r="B7" s="16"/>
      <c r="C7" s="16"/>
      <c r="D7" s="16"/>
      <c r="E7" s="16"/>
      <c r="F7" s="16"/>
      <c r="G7" s="16"/>
      <c r="H7" s="16"/>
      <c r="I7" s="16"/>
      <c r="J7" s="9">
        <v>22</v>
      </c>
      <c r="K7" s="18" t="s">
        <v>8</v>
      </c>
      <c r="L7" s="18">
        <v>11</v>
      </c>
      <c r="M7" s="19">
        <v>5.5555555555555552E-2</v>
      </c>
      <c r="N7" s="4">
        <v>0.1818181818181818</v>
      </c>
      <c r="O7" s="16"/>
      <c r="P7" s="8" t="s">
        <v>27</v>
      </c>
      <c r="Q7" s="8">
        <v>9</v>
      </c>
      <c r="R7" s="19">
        <v>0.1388888888888889</v>
      </c>
      <c r="S7" s="19">
        <v>0</v>
      </c>
      <c r="T7" s="16"/>
      <c r="U7" s="16">
        <v>0.1111111111111111</v>
      </c>
      <c r="V7" s="16">
        <v>2.7777777777777776E-2</v>
      </c>
      <c r="W7" s="16"/>
      <c r="X7" s="16"/>
      <c r="Y7" s="16"/>
      <c r="Z7" s="16"/>
    </row>
    <row r="8" spans="1:26" x14ac:dyDescent="0.3">
      <c r="A8" s="16"/>
      <c r="B8" s="16"/>
      <c r="C8" s="16"/>
      <c r="D8" s="16"/>
      <c r="E8" s="16"/>
      <c r="F8" s="16"/>
      <c r="G8" s="16"/>
      <c r="H8" s="16"/>
      <c r="I8" s="16"/>
      <c r="J8" s="9">
        <v>23</v>
      </c>
      <c r="K8" s="18" t="s">
        <v>13</v>
      </c>
      <c r="L8" s="18">
        <v>4</v>
      </c>
      <c r="M8" s="19">
        <v>8.3333333333333329E-2</v>
      </c>
      <c r="N8" s="4">
        <v>0.24999999999999997</v>
      </c>
      <c r="O8" s="16"/>
      <c r="P8" s="9">
        <v>8</v>
      </c>
      <c r="Q8" s="9">
        <v>33</v>
      </c>
      <c r="R8" s="19">
        <v>0.1388888888888889</v>
      </c>
      <c r="S8" s="19">
        <v>0</v>
      </c>
      <c r="T8" s="16"/>
      <c r="U8" s="16">
        <v>8.3333333333333329E-2</v>
      </c>
      <c r="V8" s="16"/>
      <c r="W8" s="16">
        <v>5.5555555555555552E-2</v>
      </c>
      <c r="X8" s="16"/>
      <c r="Y8" s="16"/>
      <c r="Z8" s="16"/>
    </row>
    <row r="9" spans="1:26" x14ac:dyDescent="0.3">
      <c r="A9" s="16"/>
      <c r="B9" s="16"/>
      <c r="C9" s="16"/>
      <c r="D9" s="16"/>
      <c r="E9" s="16"/>
      <c r="F9" s="16"/>
      <c r="G9" s="16"/>
      <c r="H9" s="16"/>
      <c r="I9" s="16"/>
      <c r="J9" s="9">
        <v>24</v>
      </c>
      <c r="K9" s="18" t="s">
        <v>12</v>
      </c>
      <c r="L9" s="18">
        <v>5</v>
      </c>
      <c r="M9" s="19">
        <v>0.1111111111111111</v>
      </c>
      <c r="N9" s="4">
        <v>0.36363636363636359</v>
      </c>
      <c r="O9" s="16"/>
      <c r="P9" s="21">
        <v>9</v>
      </c>
      <c r="Q9" s="8">
        <v>34</v>
      </c>
      <c r="R9" s="19">
        <v>0.16666666666666666</v>
      </c>
      <c r="S9" s="19">
        <v>0</v>
      </c>
      <c r="T9" s="16">
        <v>0.1111111111111111</v>
      </c>
      <c r="U9" s="16"/>
      <c r="V9" s="16">
        <v>5.5555555555555552E-2</v>
      </c>
      <c r="W9" s="16"/>
      <c r="X9" s="16"/>
      <c r="Y9" s="16"/>
      <c r="Z9" s="16"/>
    </row>
    <row r="10" spans="1:26" x14ac:dyDescent="0.3">
      <c r="A10" s="16"/>
      <c r="B10" s="16"/>
      <c r="C10" s="16"/>
      <c r="D10" s="16"/>
      <c r="E10" s="16"/>
      <c r="F10" s="16"/>
      <c r="G10" s="16"/>
      <c r="H10" s="16"/>
      <c r="I10" s="16"/>
      <c r="J10" s="9">
        <v>31</v>
      </c>
      <c r="K10" s="18" t="s">
        <v>10</v>
      </c>
      <c r="L10" s="18">
        <v>9</v>
      </c>
      <c r="M10" s="19">
        <v>0.1111111111111111</v>
      </c>
      <c r="N10" s="4">
        <v>0.33333333333333331</v>
      </c>
      <c r="O10" s="16"/>
      <c r="P10" s="9">
        <v>10</v>
      </c>
      <c r="Q10" s="9">
        <v>35</v>
      </c>
      <c r="R10" s="19">
        <v>0.16666666666666666</v>
      </c>
      <c r="S10" s="19">
        <v>0</v>
      </c>
      <c r="T10" s="16">
        <v>0.1111111111111111</v>
      </c>
      <c r="U10" s="16"/>
      <c r="V10" s="16"/>
      <c r="W10" s="16">
        <v>5.5555555555555552E-2</v>
      </c>
      <c r="X10" s="16"/>
      <c r="Y10" s="16"/>
      <c r="Z10" s="16"/>
    </row>
    <row r="11" spans="1:26" x14ac:dyDescent="0.3">
      <c r="A11" s="16"/>
      <c r="B11" s="16"/>
      <c r="C11" s="16"/>
      <c r="D11" s="16"/>
      <c r="E11" s="16"/>
      <c r="F11" s="16"/>
      <c r="G11" s="16"/>
      <c r="H11" s="16"/>
      <c r="I11" s="16"/>
      <c r="J11" s="9">
        <v>32</v>
      </c>
      <c r="K11" s="18" t="s">
        <v>13</v>
      </c>
      <c r="L11" s="18">
        <v>5</v>
      </c>
      <c r="M11" s="19">
        <v>0.1111111111111111</v>
      </c>
      <c r="N11" s="4">
        <v>0.33333333333333326</v>
      </c>
      <c r="O11" s="16"/>
      <c r="P11" s="8" t="s">
        <v>31</v>
      </c>
      <c r="Q11" s="8">
        <v>13</v>
      </c>
      <c r="R11" s="19">
        <v>0.16666666666666669</v>
      </c>
      <c r="S11" s="19">
        <v>0</v>
      </c>
      <c r="T11" s="16">
        <v>5.5555555555555552E-2</v>
      </c>
      <c r="U11" s="16"/>
      <c r="V11" s="16"/>
      <c r="W11" s="16">
        <v>2.7777777777777776E-2</v>
      </c>
      <c r="X11" s="16">
        <v>8.3333333333333329E-2</v>
      </c>
      <c r="Y11" s="16"/>
      <c r="Z11" s="16"/>
    </row>
    <row r="12" spans="1:26" x14ac:dyDescent="0.3">
      <c r="A12" s="16"/>
      <c r="B12" s="16"/>
      <c r="C12" s="16"/>
      <c r="D12" s="16"/>
      <c r="E12" s="16"/>
      <c r="F12" s="16"/>
      <c r="G12" s="16"/>
      <c r="H12" s="16"/>
      <c r="I12" s="16"/>
      <c r="J12" s="9">
        <v>33</v>
      </c>
      <c r="K12" s="18" t="s">
        <v>11</v>
      </c>
      <c r="L12" s="18">
        <v>2</v>
      </c>
      <c r="M12" s="19">
        <v>2.7777777777777776E-2</v>
      </c>
      <c r="N12" s="4">
        <v>8.3333333333333329E-2</v>
      </c>
      <c r="O12" s="16"/>
      <c r="P12" s="9" t="s">
        <v>23</v>
      </c>
      <c r="Q12" s="9">
        <v>5</v>
      </c>
      <c r="R12" s="19">
        <v>0.19444444444444442</v>
      </c>
      <c r="S12" s="19">
        <v>0</v>
      </c>
      <c r="T12" s="16">
        <v>5.5555555555555552E-2</v>
      </c>
      <c r="U12" s="16">
        <v>5.5555555555555552E-2</v>
      </c>
      <c r="V12" s="16"/>
      <c r="W12" s="16"/>
      <c r="X12" s="16">
        <v>8.3333333333333329E-2</v>
      </c>
      <c r="Y12" s="16"/>
      <c r="Z12" s="16"/>
    </row>
    <row r="13" spans="1:26" x14ac:dyDescent="0.3">
      <c r="A13" s="16"/>
      <c r="B13" s="16"/>
      <c r="C13" s="16"/>
      <c r="D13" s="16"/>
      <c r="E13" s="16"/>
      <c r="F13" s="16"/>
      <c r="G13" s="16"/>
      <c r="H13" s="16"/>
      <c r="I13" s="16"/>
      <c r="J13" s="9">
        <v>34</v>
      </c>
      <c r="K13" s="18" t="s">
        <v>11</v>
      </c>
      <c r="L13" s="18">
        <v>10</v>
      </c>
      <c r="M13" s="19">
        <v>8.3333333333333329E-2</v>
      </c>
      <c r="N13" s="4">
        <v>0.25</v>
      </c>
      <c r="O13" s="16"/>
      <c r="P13" s="8" t="s">
        <v>29</v>
      </c>
      <c r="Q13" s="8">
        <v>11</v>
      </c>
      <c r="R13" s="19">
        <v>0.19444444444444442</v>
      </c>
      <c r="S13" s="19">
        <v>0</v>
      </c>
      <c r="T13" s="16">
        <v>5.5555555555555552E-2</v>
      </c>
      <c r="U13" s="16"/>
      <c r="V13" s="16">
        <v>2.7777777777777776E-2</v>
      </c>
      <c r="W13" s="16"/>
      <c r="X13" s="16">
        <v>0.1111111111111111</v>
      </c>
      <c r="Y13" s="16"/>
      <c r="Z13" s="16"/>
    </row>
    <row r="14" spans="1:26" x14ac:dyDescent="0.3">
      <c r="A14" s="16"/>
      <c r="B14" s="16"/>
      <c r="C14" s="16"/>
      <c r="D14" s="16"/>
      <c r="E14" s="16"/>
      <c r="F14" s="16"/>
      <c r="G14" s="16"/>
      <c r="H14" s="16"/>
      <c r="I14" s="16"/>
      <c r="J14" s="9">
        <v>35</v>
      </c>
      <c r="K14" s="18" t="s">
        <v>13</v>
      </c>
      <c r="L14" s="18">
        <v>6</v>
      </c>
      <c r="M14" s="19">
        <v>0.1388888888888889</v>
      </c>
      <c r="N14" s="4">
        <v>0.41666666666666663</v>
      </c>
      <c r="O14" s="16"/>
      <c r="P14" s="8" t="s">
        <v>30</v>
      </c>
      <c r="Q14" s="8">
        <v>12</v>
      </c>
      <c r="R14" s="19">
        <v>0.19444444444444442</v>
      </c>
      <c r="S14" s="19">
        <v>0</v>
      </c>
      <c r="T14" s="16">
        <v>5.5555555555555552E-2</v>
      </c>
      <c r="U14" s="16"/>
      <c r="V14" s="16"/>
      <c r="W14" s="16">
        <v>2.7777777777777776E-2</v>
      </c>
      <c r="X14" s="16">
        <v>0.1111111111111111</v>
      </c>
      <c r="Y14" s="16"/>
      <c r="Z14" s="16"/>
    </row>
    <row r="15" spans="1:26" x14ac:dyDescent="0.3">
      <c r="A15" s="16"/>
      <c r="B15" s="16"/>
      <c r="C15" s="16"/>
      <c r="D15" s="16"/>
      <c r="E15" s="16"/>
      <c r="F15" s="16"/>
      <c r="G15" s="16"/>
      <c r="H15" s="16"/>
      <c r="I15" s="16"/>
      <c r="J15" s="9">
        <v>41</v>
      </c>
      <c r="K15" s="18" t="s">
        <v>8</v>
      </c>
      <c r="L15" s="18">
        <v>8</v>
      </c>
      <c r="M15" s="19">
        <v>0.1388888888888889</v>
      </c>
      <c r="N15" s="4">
        <v>0.45454545454545453</v>
      </c>
      <c r="O15" s="16"/>
      <c r="P15" s="8" t="s">
        <v>13</v>
      </c>
      <c r="Q15" s="8">
        <v>14</v>
      </c>
      <c r="R15" s="19">
        <v>0.19444444444444442</v>
      </c>
      <c r="S15" s="19">
        <v>0</v>
      </c>
      <c r="T15" s="16"/>
      <c r="U15" s="16"/>
      <c r="V15" s="16"/>
      <c r="W15" s="16">
        <v>0.1111111111111111</v>
      </c>
      <c r="X15" s="16">
        <v>8.3333333333333329E-2</v>
      </c>
      <c r="Y15" s="16"/>
      <c r="Z15" s="16"/>
    </row>
    <row r="16" spans="1:26" x14ac:dyDescent="0.3">
      <c r="A16" s="16"/>
      <c r="B16" s="16"/>
      <c r="C16" s="16"/>
      <c r="D16" s="16"/>
      <c r="E16" s="16"/>
      <c r="F16" s="16"/>
      <c r="G16" s="16"/>
      <c r="H16" s="16"/>
      <c r="I16" s="16"/>
      <c r="J16" s="9">
        <v>42</v>
      </c>
      <c r="K16" s="18" t="s">
        <v>10</v>
      </c>
      <c r="L16" s="18">
        <v>10</v>
      </c>
      <c r="M16" s="19">
        <v>8.3333333333333329E-2</v>
      </c>
      <c r="N16" s="4">
        <v>0.25</v>
      </c>
      <c r="O16" s="16"/>
      <c r="P16" s="8" t="s">
        <v>8</v>
      </c>
      <c r="Q16" s="8">
        <v>1</v>
      </c>
      <c r="R16" s="19">
        <v>0.19444444444444445</v>
      </c>
      <c r="S16" s="19">
        <v>0</v>
      </c>
      <c r="T16" s="16"/>
      <c r="U16" s="16">
        <v>5.5555555555555552E-2</v>
      </c>
      <c r="V16" s="16"/>
      <c r="W16" s="16">
        <v>0.1388888888888889</v>
      </c>
      <c r="X16" s="16"/>
      <c r="Y16" s="16"/>
      <c r="Z16" s="16"/>
    </row>
    <row r="17" spans="1:26" x14ac:dyDescent="0.3">
      <c r="A17" s="16"/>
      <c r="B17" s="16"/>
      <c r="C17" s="16"/>
      <c r="D17" s="16"/>
      <c r="E17" s="16"/>
      <c r="F17" s="16"/>
      <c r="G17" s="16"/>
      <c r="H17" s="16"/>
      <c r="I17" s="16"/>
      <c r="J17" s="9">
        <v>43</v>
      </c>
      <c r="K17" s="18" t="s">
        <v>12</v>
      </c>
      <c r="L17" s="18">
        <v>6</v>
      </c>
      <c r="M17" s="19">
        <v>0.1388888888888889</v>
      </c>
      <c r="N17" s="4">
        <v>0.45454545454545453</v>
      </c>
      <c r="O17" s="16"/>
      <c r="P17" s="9">
        <v>2</v>
      </c>
      <c r="Q17" s="9">
        <v>27</v>
      </c>
      <c r="R17" s="19">
        <v>0.19444444444444445</v>
      </c>
      <c r="S17" s="19">
        <v>0</v>
      </c>
      <c r="T17" s="16">
        <v>0.1388888888888889</v>
      </c>
      <c r="U17" s="16"/>
      <c r="V17" s="16">
        <v>5.5555555555555552E-2</v>
      </c>
      <c r="W17" s="16"/>
      <c r="X17" s="16"/>
      <c r="Y17" s="16"/>
      <c r="Z17" s="16"/>
    </row>
    <row r="18" spans="1:26" x14ac:dyDescent="0.3">
      <c r="A18" s="16"/>
      <c r="B18" s="16"/>
      <c r="C18" s="16"/>
      <c r="D18" s="16"/>
      <c r="E18" s="16"/>
      <c r="F18" s="16"/>
      <c r="G18" s="16"/>
      <c r="H18" s="16"/>
      <c r="I18" s="16"/>
      <c r="J18" s="9">
        <v>44</v>
      </c>
      <c r="K18" s="18" t="s">
        <v>10</v>
      </c>
      <c r="L18" s="18">
        <v>4</v>
      </c>
      <c r="M18" s="19">
        <v>8.3333333333333329E-2</v>
      </c>
      <c r="N18" s="4">
        <v>0.25</v>
      </c>
      <c r="O18" s="16"/>
      <c r="P18" s="8" t="s">
        <v>37</v>
      </c>
      <c r="Q18" s="8">
        <v>21</v>
      </c>
      <c r="R18" s="19">
        <v>0.22222222222222221</v>
      </c>
      <c r="S18" s="19">
        <v>0</v>
      </c>
      <c r="T18" s="16"/>
      <c r="U18" s="16">
        <v>8.3333333333333329E-2</v>
      </c>
      <c r="V18" s="16"/>
      <c r="W18" s="16">
        <v>2.7777777777777776E-2</v>
      </c>
      <c r="X18" s="16">
        <v>0.1111111111111111</v>
      </c>
      <c r="Y18" s="16"/>
      <c r="Z18" s="16"/>
    </row>
    <row r="19" spans="1:26" x14ac:dyDescent="0.3">
      <c r="A19" s="16"/>
      <c r="B19" s="16"/>
      <c r="C19" s="16"/>
      <c r="D19" s="16"/>
      <c r="E19" s="16"/>
      <c r="F19" s="16"/>
      <c r="G19" s="16"/>
      <c r="H19" s="16"/>
      <c r="I19" s="16"/>
      <c r="J19" s="9">
        <v>51</v>
      </c>
      <c r="K19" s="18" t="s">
        <v>12</v>
      </c>
      <c r="L19" s="18">
        <v>3</v>
      </c>
      <c r="M19" s="19">
        <v>5.5555555555555552E-2</v>
      </c>
      <c r="N19" s="4">
        <v>0.1818181818181818</v>
      </c>
      <c r="O19" s="16"/>
      <c r="P19" s="21">
        <v>1</v>
      </c>
      <c r="Q19" s="8">
        <v>26</v>
      </c>
      <c r="R19" s="19">
        <v>0.22222222222222221</v>
      </c>
      <c r="S19" s="19">
        <v>0</v>
      </c>
      <c r="T19" s="16"/>
      <c r="U19" s="16">
        <v>8.3333333333333329E-2</v>
      </c>
      <c r="V19" s="16"/>
      <c r="W19" s="16"/>
      <c r="X19" s="16">
        <v>0.1388888888888889</v>
      </c>
      <c r="Y19" s="16"/>
      <c r="Z19" s="16"/>
    </row>
    <row r="20" spans="1:26" x14ac:dyDescent="0.3">
      <c r="A20" s="16"/>
      <c r="B20" s="16"/>
      <c r="C20" s="16"/>
      <c r="D20" s="16"/>
      <c r="E20" s="16"/>
      <c r="F20" s="16"/>
      <c r="G20" s="16"/>
      <c r="H20" s="16"/>
      <c r="I20" s="16"/>
      <c r="J20" s="9">
        <v>52</v>
      </c>
      <c r="K20" s="18" t="s">
        <v>8</v>
      </c>
      <c r="L20" s="18">
        <v>9</v>
      </c>
      <c r="M20" s="19">
        <v>0.1111111111111111</v>
      </c>
      <c r="N20" s="4">
        <v>0.36363636363636359</v>
      </c>
      <c r="O20" s="16"/>
      <c r="P20" s="8" t="s">
        <v>26</v>
      </c>
      <c r="Q20" s="8">
        <v>8</v>
      </c>
      <c r="R20" s="19">
        <v>0.25</v>
      </c>
      <c r="S20" s="19">
        <v>0</v>
      </c>
      <c r="T20" s="16"/>
      <c r="U20" s="16"/>
      <c r="V20" s="16">
        <v>0.1111111111111111</v>
      </c>
      <c r="W20" s="16">
        <v>0.1388888888888889</v>
      </c>
      <c r="X20" s="16"/>
      <c r="Y20" s="16"/>
      <c r="Z20" s="16"/>
    </row>
    <row r="21" spans="1:26" x14ac:dyDescent="0.3">
      <c r="A21" s="16"/>
      <c r="B21" s="16"/>
      <c r="C21" s="16"/>
      <c r="D21" s="16"/>
      <c r="E21" s="16"/>
      <c r="F21" s="16"/>
      <c r="G21" s="16"/>
      <c r="H21" s="16"/>
      <c r="I21" s="16"/>
      <c r="J21" s="9">
        <v>53</v>
      </c>
      <c r="K21" s="18" t="s">
        <v>11</v>
      </c>
      <c r="L21" s="18">
        <v>3</v>
      </c>
      <c r="M21" s="19">
        <v>5.5555555555555552E-2</v>
      </c>
      <c r="N21" s="4">
        <v>0.16666666666666666</v>
      </c>
      <c r="O21" s="16"/>
      <c r="P21" s="8" t="s">
        <v>28</v>
      </c>
      <c r="Q21" s="8">
        <v>10</v>
      </c>
      <c r="R21" s="19">
        <v>0.25</v>
      </c>
      <c r="S21" s="19">
        <v>0</v>
      </c>
      <c r="T21" s="16"/>
      <c r="U21" s="16">
        <v>0.1111111111111111</v>
      </c>
      <c r="V21" s="16">
        <v>2.7777777777777776E-2</v>
      </c>
      <c r="W21" s="16"/>
      <c r="X21" s="16">
        <v>0.1111111111111111</v>
      </c>
      <c r="Y21" s="16"/>
      <c r="Z21" s="16"/>
    </row>
    <row r="22" spans="1:26" x14ac:dyDescent="0.3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8" t="s">
        <v>34</v>
      </c>
      <c r="Q22" s="8">
        <v>17</v>
      </c>
      <c r="R22" s="19">
        <v>0.25</v>
      </c>
      <c r="S22" s="19">
        <v>0</v>
      </c>
      <c r="T22" s="16"/>
      <c r="U22" s="16"/>
      <c r="V22" s="16">
        <v>0.1111111111111111</v>
      </c>
      <c r="W22" s="16"/>
      <c r="X22" s="16">
        <v>0.1388888888888889</v>
      </c>
      <c r="Y22" s="16"/>
      <c r="Z22" s="16"/>
    </row>
    <row r="23" spans="1:26" x14ac:dyDescent="0.3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8" t="s">
        <v>12</v>
      </c>
      <c r="Q23" s="8">
        <v>18</v>
      </c>
      <c r="R23" s="19">
        <v>0.25</v>
      </c>
      <c r="S23" s="19">
        <v>0</v>
      </c>
      <c r="T23" s="16">
        <v>0.1388888888888889</v>
      </c>
      <c r="U23" s="16">
        <v>0.1111111111111111</v>
      </c>
      <c r="V23" s="16"/>
      <c r="W23" s="16"/>
      <c r="X23" s="16"/>
      <c r="Y23" s="16"/>
      <c r="Z23" s="16"/>
    </row>
    <row r="24" spans="1:26" x14ac:dyDescent="0.3">
      <c r="A24" s="1" t="s">
        <v>80</v>
      </c>
      <c r="B24" s="16"/>
      <c r="C24" s="16"/>
      <c r="D24" s="16"/>
      <c r="E24" s="16"/>
      <c r="F24" s="16"/>
      <c r="G24" s="16"/>
      <c r="H24" s="16"/>
      <c r="I24" s="16"/>
      <c r="J24" s="13" t="s">
        <v>2</v>
      </c>
      <c r="K24" s="14" t="s">
        <v>41</v>
      </c>
      <c r="L24" s="14" t="s">
        <v>42</v>
      </c>
      <c r="M24" s="15" t="s">
        <v>15</v>
      </c>
      <c r="N24" s="14" t="s">
        <v>16</v>
      </c>
      <c r="O24" s="16"/>
      <c r="P24" s="8" t="s">
        <v>10</v>
      </c>
      <c r="Q24" s="8">
        <v>22</v>
      </c>
      <c r="R24" s="19">
        <v>0.25</v>
      </c>
      <c r="S24" s="19">
        <v>0</v>
      </c>
      <c r="T24" s="16"/>
      <c r="U24" s="16">
        <v>8.3333333333333329E-2</v>
      </c>
      <c r="V24" s="16">
        <v>0.1388888888888889</v>
      </c>
      <c r="W24" s="16">
        <v>2.7777777777777776E-2</v>
      </c>
      <c r="X24" s="16"/>
      <c r="Y24" s="16"/>
      <c r="Z24" s="16"/>
    </row>
    <row r="25" spans="1:26" x14ac:dyDescent="0.3">
      <c r="A25" s="1" t="s">
        <v>74</v>
      </c>
      <c r="B25" s="1" t="s">
        <v>77</v>
      </c>
      <c r="C25" s="1" t="s">
        <v>75</v>
      </c>
      <c r="D25" s="1" t="s">
        <v>76</v>
      </c>
      <c r="E25" s="1" t="s">
        <v>78</v>
      </c>
      <c r="F25" s="16"/>
      <c r="G25" s="16"/>
      <c r="H25" s="16"/>
      <c r="I25" s="16"/>
      <c r="J25" s="13"/>
      <c r="K25" s="14"/>
      <c r="L25" s="14"/>
      <c r="M25" s="15"/>
      <c r="N25" s="14"/>
      <c r="O25" s="16"/>
      <c r="P25" s="8" t="s">
        <v>38</v>
      </c>
      <c r="Q25" s="8">
        <v>23</v>
      </c>
      <c r="R25" s="19">
        <v>0.25</v>
      </c>
      <c r="S25" s="19">
        <v>0</v>
      </c>
      <c r="T25" s="16"/>
      <c r="U25" s="16"/>
      <c r="V25" s="16">
        <v>0.1388888888888889</v>
      </c>
      <c r="W25" s="16">
        <v>0.1111111111111111</v>
      </c>
      <c r="X25" s="16"/>
      <c r="Y25" s="16"/>
      <c r="Z25" s="16"/>
    </row>
    <row r="26" spans="1:26" x14ac:dyDescent="0.3">
      <c r="A26" s="1" t="s">
        <v>69</v>
      </c>
      <c r="B26" s="20"/>
      <c r="C26" s="11"/>
      <c r="D26" s="20"/>
      <c r="E26" s="20"/>
      <c r="F26" s="16"/>
      <c r="G26" s="16"/>
      <c r="H26" s="16"/>
      <c r="I26" s="16"/>
      <c r="J26" s="13"/>
      <c r="K26" s="14"/>
      <c r="L26" s="14"/>
      <c r="M26" s="15"/>
      <c r="N26" s="14"/>
      <c r="O26" s="16"/>
      <c r="P26" s="9">
        <v>4</v>
      </c>
      <c r="Q26" s="9">
        <v>29</v>
      </c>
      <c r="R26" s="19">
        <v>0.25</v>
      </c>
      <c r="S26" s="19">
        <v>0</v>
      </c>
      <c r="T26" s="16">
        <v>0.1111111111111111</v>
      </c>
      <c r="U26" s="16">
        <v>8.3333333333333329E-2</v>
      </c>
      <c r="V26" s="16">
        <v>5.5555555555555552E-2</v>
      </c>
      <c r="W26" s="16"/>
      <c r="X26" s="16"/>
      <c r="Y26" s="16"/>
      <c r="Z26" s="16"/>
    </row>
    <row r="27" spans="1:26" x14ac:dyDescent="0.3">
      <c r="A27" s="1" t="s">
        <v>70</v>
      </c>
      <c r="B27" s="20"/>
      <c r="C27" s="11"/>
      <c r="D27" s="20"/>
      <c r="E27" s="20"/>
      <c r="F27" s="16"/>
      <c r="G27" s="16"/>
      <c r="H27" s="16"/>
      <c r="I27" s="16"/>
      <c r="J27" s="1" t="s">
        <v>5</v>
      </c>
      <c r="K27" s="16">
        <v>0.26851699200000001</v>
      </c>
      <c r="L27" s="16">
        <v>0.30555555555555558</v>
      </c>
      <c r="M27" s="16">
        <f>L27-K27</f>
        <v>3.703856355555557E-2</v>
      </c>
      <c r="N27" s="16" cm="1">
        <f t="array" ref="N27">M27/MIN(ABS($M$27:$M$31))</f>
        <v>1.5001854872900915</v>
      </c>
      <c r="O27" s="16"/>
      <c r="P27" s="8" t="s">
        <v>32</v>
      </c>
      <c r="Q27" s="8">
        <v>15</v>
      </c>
      <c r="R27" s="19">
        <v>0.27777777777777773</v>
      </c>
      <c r="S27" s="19">
        <v>0</v>
      </c>
      <c r="T27" s="16"/>
      <c r="U27" s="16"/>
      <c r="V27" s="16">
        <v>0.1111111111111111</v>
      </c>
      <c r="W27" s="16">
        <v>8.3333333333333329E-2</v>
      </c>
      <c r="X27" s="16">
        <v>8.3333333333333329E-2</v>
      </c>
      <c r="Y27" s="16"/>
      <c r="Z27" s="16"/>
    </row>
    <row r="28" spans="1:26" x14ac:dyDescent="0.3">
      <c r="A28" s="1" t="s">
        <v>71</v>
      </c>
      <c r="B28" s="20"/>
      <c r="C28" s="20"/>
      <c r="D28" s="20"/>
      <c r="E28" s="11"/>
      <c r="F28" s="16"/>
      <c r="G28" s="16"/>
      <c r="H28" s="16"/>
      <c r="I28" s="16"/>
      <c r="J28" s="1" t="s">
        <v>4</v>
      </c>
      <c r="K28" s="16">
        <v>0.35802265599999999</v>
      </c>
      <c r="L28" s="16">
        <v>0.33333333333333331</v>
      </c>
      <c r="M28" s="16">
        <f>L28-K28</f>
        <v>-2.468932266666668E-2</v>
      </c>
      <c r="N28" s="16" cm="1">
        <f t="array" ref="N28">M28/MIN(ABS($M$27:$M$31))</f>
        <v>-1.0000000000000022</v>
      </c>
      <c r="O28" s="16"/>
      <c r="P28" s="8" t="s">
        <v>24</v>
      </c>
      <c r="Q28" s="8">
        <v>6</v>
      </c>
      <c r="R28" s="19">
        <v>0.27777777777777779</v>
      </c>
      <c r="S28" s="19">
        <v>0</v>
      </c>
      <c r="T28" s="16"/>
      <c r="U28" s="16">
        <v>5.5555555555555552E-2</v>
      </c>
      <c r="V28" s="16"/>
      <c r="W28" s="16">
        <v>0.1388888888888889</v>
      </c>
      <c r="X28" s="16">
        <v>8.3333333333333329E-2</v>
      </c>
      <c r="Y28" s="16"/>
      <c r="Z28" s="16"/>
    </row>
    <row r="29" spans="1:26" x14ac:dyDescent="0.3">
      <c r="A29" s="1" t="s">
        <v>68</v>
      </c>
      <c r="B29" s="20"/>
      <c r="C29" s="20"/>
      <c r="D29" s="11"/>
      <c r="E29" s="20"/>
      <c r="F29" s="16"/>
      <c r="G29" s="16"/>
      <c r="H29" s="16"/>
      <c r="I29" s="16"/>
      <c r="J29" s="1" t="s">
        <v>6</v>
      </c>
      <c r="K29" s="16">
        <v>0.35802265599999999</v>
      </c>
      <c r="L29" s="16">
        <v>0.33333333333333337</v>
      </c>
      <c r="M29" s="16">
        <f>L29-K29</f>
        <v>-2.4689322666666624E-2</v>
      </c>
      <c r="N29" s="16" cm="1">
        <f t="array" ref="N29">M29/MIN(ABS($M$27:$M$31))</f>
        <v>-1</v>
      </c>
      <c r="O29" s="16"/>
      <c r="P29" s="9">
        <v>3</v>
      </c>
      <c r="Q29" s="9">
        <v>28</v>
      </c>
      <c r="R29" s="19">
        <v>0.27777777777777779</v>
      </c>
      <c r="S29" s="19">
        <v>0</v>
      </c>
      <c r="T29" s="16">
        <v>0.1388888888888889</v>
      </c>
      <c r="U29" s="16">
        <v>8.3333333333333329E-2</v>
      </c>
      <c r="V29" s="16">
        <v>5.5555555555555552E-2</v>
      </c>
      <c r="W29" s="16"/>
      <c r="X29" s="16"/>
      <c r="Y29" s="16"/>
      <c r="Z29" s="16"/>
    </row>
    <row r="30" spans="1:26" x14ac:dyDescent="0.3">
      <c r="A30" s="1" t="s">
        <v>72</v>
      </c>
      <c r="B30" s="20"/>
      <c r="C30" s="11"/>
      <c r="D30" s="20"/>
      <c r="E30" s="20"/>
      <c r="F30" s="16"/>
      <c r="G30" s="16"/>
      <c r="H30" s="16"/>
      <c r="I30" s="16"/>
      <c r="J30" s="1" t="s">
        <v>7</v>
      </c>
      <c r="K30" s="16">
        <v>0.35802265599999999</v>
      </c>
      <c r="L30" s="16">
        <v>0.30555555555555558</v>
      </c>
      <c r="M30" s="16">
        <f t="shared" ref="M30:M31" si="0">L30-K30</f>
        <v>-5.2467100444444414E-2</v>
      </c>
      <c r="N30" s="16" cm="1">
        <f t="array" ref="N30">M30/MIN(ABS($M$27:$M$31))</f>
        <v>-2.1250927436450464</v>
      </c>
      <c r="O30" s="16"/>
      <c r="P30" s="9">
        <v>7</v>
      </c>
      <c r="Q30" s="9">
        <v>32</v>
      </c>
      <c r="R30" s="19">
        <v>0.27777777777777779</v>
      </c>
      <c r="S30" s="19">
        <v>0</v>
      </c>
      <c r="T30" s="16"/>
      <c r="U30" s="16">
        <v>8.3333333333333329E-2</v>
      </c>
      <c r="V30" s="16">
        <v>0.1388888888888889</v>
      </c>
      <c r="W30" s="16">
        <v>5.5555555555555552E-2</v>
      </c>
      <c r="X30" s="16"/>
      <c r="Y30" s="16"/>
      <c r="Z30" s="16"/>
    </row>
    <row r="31" spans="1:26" x14ac:dyDescent="0.3">
      <c r="A31" s="1" t="s">
        <v>73</v>
      </c>
      <c r="B31" s="20"/>
      <c r="C31" s="20"/>
      <c r="D31" s="20"/>
      <c r="E31" s="20"/>
      <c r="F31" s="16"/>
      <c r="G31" s="16"/>
      <c r="H31" s="16"/>
      <c r="I31" s="16"/>
      <c r="J31" s="1" t="s">
        <v>3</v>
      </c>
      <c r="K31" s="16">
        <v>0.26851699200000001</v>
      </c>
      <c r="L31" s="16">
        <v>0.33333333333333331</v>
      </c>
      <c r="M31" s="16">
        <f t="shared" si="0"/>
        <v>6.4816341333333305E-2</v>
      </c>
      <c r="N31" s="16" cm="1">
        <f t="array" ref="N31">M31/MIN(ABS($M$27:$M$31))</f>
        <v>2.6252782309351357</v>
      </c>
      <c r="O31" s="16"/>
      <c r="P31" s="8" t="s">
        <v>39</v>
      </c>
      <c r="Q31" s="8">
        <v>24</v>
      </c>
      <c r="R31" s="19">
        <v>0.30555555555555552</v>
      </c>
      <c r="S31" s="19">
        <v>0</v>
      </c>
      <c r="T31" s="16"/>
      <c r="U31" s="16">
        <v>8.3333333333333329E-2</v>
      </c>
      <c r="V31" s="16">
        <v>0.1388888888888889</v>
      </c>
      <c r="W31" s="16">
        <v>8.3333333333333329E-2</v>
      </c>
      <c r="X31" s="16"/>
      <c r="Y31" s="16"/>
      <c r="Z31" s="16"/>
    </row>
    <row r="32" spans="1:26" x14ac:dyDescent="0.3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8" t="s">
        <v>40</v>
      </c>
      <c r="Q32" s="8">
        <v>25</v>
      </c>
      <c r="R32" s="19">
        <v>0.30555555555555552</v>
      </c>
      <c r="S32" s="19">
        <v>0</v>
      </c>
      <c r="T32" s="16"/>
      <c r="U32" s="16">
        <v>8.3333333333333329E-2</v>
      </c>
      <c r="V32" s="16"/>
      <c r="W32" s="16">
        <v>8.3333333333333329E-2</v>
      </c>
      <c r="X32" s="16">
        <v>0.1388888888888889</v>
      </c>
      <c r="Y32" s="16"/>
      <c r="Z32" s="16"/>
    </row>
    <row r="33" spans="1:26" x14ac:dyDescent="0.3">
      <c r="A33" s="1" t="s">
        <v>5</v>
      </c>
      <c r="B33" s="16">
        <v>0</v>
      </c>
      <c r="C33" s="16">
        <v>0</v>
      </c>
      <c r="D33" s="16">
        <v>0</v>
      </c>
      <c r="E33" s="16">
        <v>0</v>
      </c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9">
        <v>6</v>
      </c>
      <c r="Q33" s="9">
        <v>31</v>
      </c>
      <c r="R33" s="19">
        <v>0.30555555555555558</v>
      </c>
      <c r="S33" s="19">
        <v>0</v>
      </c>
      <c r="T33" s="16">
        <v>0.1111111111111111</v>
      </c>
      <c r="U33" s="16"/>
      <c r="V33" s="16">
        <v>0.1388888888888889</v>
      </c>
      <c r="W33" s="16">
        <v>5.5555555555555552E-2</v>
      </c>
      <c r="X33" s="16"/>
      <c r="Y33" s="16"/>
      <c r="Z33" s="16"/>
    </row>
    <row r="34" spans="1:26" x14ac:dyDescent="0.3">
      <c r="A34" s="1" t="s">
        <v>4</v>
      </c>
      <c r="B34" s="16">
        <v>0</v>
      </c>
      <c r="C34" s="16">
        <v>0</v>
      </c>
      <c r="D34" s="16">
        <v>0</v>
      </c>
      <c r="E34" s="16">
        <v>0</v>
      </c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8" t="s">
        <v>25</v>
      </c>
      <c r="Q34" s="8">
        <v>7</v>
      </c>
      <c r="R34" s="19">
        <v>0.33333333333333331</v>
      </c>
      <c r="S34" s="19">
        <v>0</v>
      </c>
      <c r="T34" s="16"/>
      <c r="U34" s="16"/>
      <c r="V34" s="16">
        <v>0.1111111111111111</v>
      </c>
      <c r="W34" s="16">
        <v>0.1388888888888889</v>
      </c>
      <c r="X34" s="16">
        <v>8.3333333333333329E-2</v>
      </c>
      <c r="Y34" s="16"/>
      <c r="Z34" s="16"/>
    </row>
    <row r="35" spans="1:26" x14ac:dyDescent="0.3">
      <c r="A35" s="1" t="s">
        <v>6</v>
      </c>
      <c r="B35" s="16">
        <v>0</v>
      </c>
      <c r="C35" s="16">
        <v>0</v>
      </c>
      <c r="D35" s="16">
        <v>0</v>
      </c>
      <c r="E35" s="16">
        <v>0</v>
      </c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8" t="s">
        <v>33</v>
      </c>
      <c r="Q35" s="8">
        <v>16</v>
      </c>
      <c r="R35" s="19">
        <v>0.33333333333333331</v>
      </c>
      <c r="S35" s="19">
        <v>0</v>
      </c>
      <c r="T35" s="16"/>
      <c r="U35" s="16"/>
      <c r="V35" s="16">
        <v>0.1111111111111111</v>
      </c>
      <c r="W35" s="16">
        <v>8.3333333333333329E-2</v>
      </c>
      <c r="X35" s="16">
        <v>0.1388888888888889</v>
      </c>
      <c r="Y35" s="16"/>
      <c r="Z35" s="16"/>
    </row>
    <row r="36" spans="1:26" x14ac:dyDescent="0.3">
      <c r="A36" s="1" t="s">
        <v>7</v>
      </c>
      <c r="B36" s="16">
        <v>0</v>
      </c>
      <c r="C36" s="16">
        <v>0</v>
      </c>
      <c r="D36" s="16">
        <v>0</v>
      </c>
      <c r="E36" s="16">
        <v>0</v>
      </c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8" t="s">
        <v>36</v>
      </c>
      <c r="Q36" s="8">
        <v>20</v>
      </c>
      <c r="R36" s="19">
        <v>0.33333333333333331</v>
      </c>
      <c r="S36" s="19">
        <v>0</v>
      </c>
      <c r="T36" s="16">
        <v>0.1388888888888889</v>
      </c>
      <c r="U36" s="16">
        <v>8.3333333333333329E-2</v>
      </c>
      <c r="V36" s="16"/>
      <c r="W36" s="16"/>
      <c r="X36" s="16">
        <v>0.1111111111111111</v>
      </c>
      <c r="Y36" s="16"/>
      <c r="Z36" s="16"/>
    </row>
    <row r="37" spans="1:26" ht="15" thickBot="1" x14ac:dyDescent="0.35">
      <c r="A37" s="1" t="s">
        <v>3</v>
      </c>
      <c r="B37" s="16">
        <v>0</v>
      </c>
      <c r="C37" s="16">
        <v>0</v>
      </c>
      <c r="D37" s="16">
        <v>0</v>
      </c>
      <c r="E37" s="16">
        <v>0</v>
      </c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9">
        <v>5</v>
      </c>
      <c r="Q37" s="9">
        <v>30</v>
      </c>
      <c r="R37" s="19">
        <v>0.33333333333333331</v>
      </c>
      <c r="S37" s="19">
        <v>0</v>
      </c>
      <c r="T37" s="16">
        <v>0.1111111111111111</v>
      </c>
      <c r="U37" s="16">
        <v>8.3333333333333329E-2</v>
      </c>
      <c r="V37" s="16">
        <v>0.1388888888888889</v>
      </c>
      <c r="W37" s="16"/>
      <c r="X37" s="16"/>
      <c r="Y37" s="16"/>
      <c r="Z37" s="16"/>
    </row>
    <row r="38" spans="1:26" ht="15" thickBot="1" x14ac:dyDescent="0.35">
      <c r="A38" s="1" t="s">
        <v>79</v>
      </c>
      <c r="B38" s="22">
        <v>0</v>
      </c>
      <c r="C38" s="23">
        <v>0</v>
      </c>
      <c r="D38" s="23">
        <v>0</v>
      </c>
      <c r="E38" s="24">
        <v>0</v>
      </c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8" t="s">
        <v>35</v>
      </c>
      <c r="Q38" s="8">
        <v>19</v>
      </c>
      <c r="R38" s="19">
        <v>0.3611111111111111</v>
      </c>
      <c r="S38" s="19">
        <v>0</v>
      </c>
      <c r="T38" s="16">
        <v>0.1388888888888889</v>
      </c>
      <c r="U38" s="16">
        <v>0.1111111111111111</v>
      </c>
      <c r="V38" s="16"/>
      <c r="W38" s="16"/>
      <c r="X38" s="16">
        <v>0.1111111111111111</v>
      </c>
      <c r="Y38" s="16"/>
      <c r="Z38" s="16"/>
    </row>
    <row r="39" spans="1:26" x14ac:dyDescent="0.3">
      <c r="A39" s="1" t="s">
        <v>82</v>
      </c>
      <c r="B39" s="16" t="e">
        <f>B38/SUM(B38:E38)</f>
        <v>#DIV/0!</v>
      </c>
      <c r="C39" s="16" t="e">
        <f>C38/SUM(B38:E38)</f>
        <v>#DIV/0!</v>
      </c>
      <c r="D39" s="16" t="e">
        <f>D38/SUM(B38:E38)</f>
        <v>#DIV/0!</v>
      </c>
      <c r="E39" s="16" t="e">
        <f>E38/SUM(B38:E38)</f>
        <v>#DIV/0!</v>
      </c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</row>
    <row r="40" spans="1:26" x14ac:dyDescent="0.3">
      <c r="A40" s="1" t="s">
        <v>84</v>
      </c>
      <c r="B40" s="16" t="e">
        <f>B39-0.25</f>
        <v>#DIV/0!</v>
      </c>
      <c r="C40" s="16" t="e">
        <f t="shared" ref="C40:E40" si="1">C39-0.25</f>
        <v>#DIV/0!</v>
      </c>
      <c r="D40" s="16" t="e">
        <f t="shared" si="1"/>
        <v>#DIV/0!</v>
      </c>
      <c r="E40" s="16" t="e">
        <f t="shared" si="1"/>
        <v>#DIV/0!</v>
      </c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</row>
    <row r="41" spans="1:26" x14ac:dyDescent="0.3">
      <c r="A41" s="1" t="s">
        <v>83</v>
      </c>
      <c r="B41" s="16" t="e" cm="1">
        <f t="array" ref="B41">B40/MIN(ABS($B$40:$E$40))</f>
        <v>#DIV/0!</v>
      </c>
      <c r="C41" s="16" t="e" cm="1">
        <f t="array" ref="C41">C40/MIN(ABS($B$40:$E$40))</f>
        <v>#DIV/0!</v>
      </c>
      <c r="D41" s="16" t="e" cm="1">
        <f t="array" ref="D41">D40/MIN(ABS($B$40:$E$40))</f>
        <v>#DIV/0!</v>
      </c>
      <c r="E41" s="16" t="e" cm="1">
        <f t="array" ref="E41">E40/MIN(ABS($B$40:$E$40))</f>
        <v>#DIV/0!</v>
      </c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</row>
  </sheetData>
  <sortState xmlns:xlrd2="http://schemas.microsoft.com/office/spreadsheetml/2017/richdata2" ref="P3:X38">
    <sortCondition ref="R2"/>
  </sortState>
  <mergeCells count="6">
    <mergeCell ref="J24:J26"/>
    <mergeCell ref="O1:P1"/>
    <mergeCell ref="K24:K26"/>
    <mergeCell ref="L24:L26"/>
    <mergeCell ref="M24:M26"/>
    <mergeCell ref="N24:N26"/>
  </mergeCells>
  <phoneticPr fontId="4" type="noConversion"/>
  <conditionalFormatting sqref="N3:N2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:M2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:R38">
    <cfRule type="colorScale" priority="18">
      <colorScale>
        <cfvo type="min"/>
        <cfvo type="percentile" val="50"/>
        <cfvo type="max"/>
        <color rgb="FFF8696B"/>
        <color rgb="FFFFEB84"/>
        <color rgb="FF00B050"/>
      </colorScale>
    </cfRule>
  </conditionalFormatting>
  <conditionalFormatting sqref="B38:E3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3:E3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4:E34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5:E3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6:E36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7:E3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7:K31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7:L31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7:M3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7:N3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:T3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ellIs" priority="6" operator="between">
      <formula>0.01</formula>
      <formula>1</formula>
    </cfRule>
  </conditionalFormatting>
  <conditionalFormatting sqref="U3:U3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3:V3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:W3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:X3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3">
    <dataValidation type="list" allowBlank="1" showInputMessage="1" showErrorMessage="1" sqref="K22:K23" xr:uid="{22E429EB-615E-4061-8C2B-8068B086E931}">
      <formula1>"Wood, Brick, Wheat, Sheep, Ore"</formula1>
    </dataValidation>
    <dataValidation type="whole" allowBlank="1" showInputMessage="1" showErrorMessage="1" sqref="L3:L21" xr:uid="{49B00549-AFE6-42F1-8F14-909235BE3B38}">
      <formula1>2</formula1>
      <formula2>12</formula2>
    </dataValidation>
    <dataValidation type="list" allowBlank="1" showInputMessage="1" showErrorMessage="1" sqref="K3:K21" xr:uid="{54296255-3298-4EEB-84A8-A18C4570484E}">
      <formula1>"B,W,Wh,S,O,D,Wood, Brick, Wheat, Sheep, Ore, Desert"</formula1>
    </dataValidation>
  </dataValidations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137160</xdr:colOff>
                    <xdr:row>1</xdr:row>
                    <xdr:rowOff>99060</xdr:rowOff>
                  </from>
                  <to>
                    <xdr:col>1</xdr:col>
                    <xdr:colOff>556260</xdr:colOff>
                    <xdr:row>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sortExbyresource">
                <anchor moveWithCells="1" sizeWithCells="1">
                  <from>
                    <xdr:col>0</xdr:col>
                    <xdr:colOff>121920</xdr:colOff>
                    <xdr:row>4</xdr:row>
                    <xdr:rowOff>15240</xdr:rowOff>
                  </from>
                  <to>
                    <xdr:col>1</xdr:col>
                    <xdr:colOff>556260</xdr:colOff>
                    <xdr:row>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sortExbytilenumber">
                <anchor moveWithCells="1" sizeWithCells="1">
                  <from>
                    <xdr:col>0</xdr:col>
                    <xdr:colOff>114300</xdr:colOff>
                    <xdr:row>9</xdr:row>
                    <xdr:rowOff>144780</xdr:rowOff>
                  </from>
                  <to>
                    <xdr:col>1</xdr:col>
                    <xdr:colOff>556260</xdr:colOff>
                    <xdr:row>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7" name="Button 18">
              <controlPr defaultSize="0" print="0" autoFill="0" autoPict="0" macro="[0]!sortnodesbynumber">
                <anchor moveWithCells="1" sizeWithCells="1">
                  <from>
                    <xdr:col>0</xdr:col>
                    <xdr:colOff>106680</xdr:colOff>
                    <xdr:row>16</xdr:row>
                    <xdr:rowOff>22860</xdr:rowOff>
                  </from>
                  <to>
                    <xdr:col>1</xdr:col>
                    <xdr:colOff>525780</xdr:colOff>
                    <xdr:row>18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8" name="Button 21">
              <controlPr defaultSize="0" print="0" autoFill="0" autoPict="0" macro="[0]!sortnodesbyvalue">
                <anchor moveWithCells="1" sizeWithCells="1">
                  <from>
                    <xdr:col>0</xdr:col>
                    <xdr:colOff>99060</xdr:colOff>
                    <xdr:row>13</xdr:row>
                    <xdr:rowOff>22860</xdr:rowOff>
                  </from>
                  <to>
                    <xdr:col>1</xdr:col>
                    <xdr:colOff>541020</xdr:colOff>
                    <xdr:row>15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9" name="Button 22">
              <controlPr defaultSize="0" print="0" autoFill="0" autoPict="0" macro="[0]!sortExbyvalue">
                <anchor moveWithCells="1" sizeWithCells="1">
                  <from>
                    <xdr:col>0</xdr:col>
                    <xdr:colOff>121920</xdr:colOff>
                    <xdr:row>7</xdr:row>
                    <xdr:rowOff>60960</xdr:rowOff>
                  </from>
                  <to>
                    <xdr:col>1</xdr:col>
                    <xdr:colOff>548640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calculatePlayerValues">
                <anchor moveWithCells="1" sizeWithCells="1">
                  <from>
                    <xdr:col>0</xdr:col>
                    <xdr:colOff>129540</xdr:colOff>
                    <xdr:row>19</xdr:row>
                    <xdr:rowOff>45720</xdr:rowOff>
                  </from>
                  <to>
                    <xdr:col>1</xdr:col>
                    <xdr:colOff>556260</xdr:colOff>
                    <xdr:row>21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AE2678-C78B-4F8F-BFB0-95C7D225869A}">
  <sheetPr codeName="Sheet2"/>
  <dimension ref="A1:S45"/>
  <sheetViews>
    <sheetView workbookViewId="0">
      <selection activeCell="A2" sqref="A2:B20"/>
    </sheetView>
  </sheetViews>
  <sheetFormatPr defaultRowHeight="14.4" x14ac:dyDescent="0.3"/>
  <sheetData>
    <row r="1" spans="1:19" x14ac:dyDescent="0.3">
      <c r="A1" s="6">
        <v>45024</v>
      </c>
    </row>
    <row r="2" spans="1:19" x14ac:dyDescent="0.3">
      <c r="A2" s="3" t="s">
        <v>9</v>
      </c>
      <c r="B2" s="3"/>
      <c r="F2" s="7"/>
      <c r="G2" s="7"/>
      <c r="H2" s="7"/>
      <c r="I2" s="7"/>
    </row>
    <row r="3" spans="1:19" x14ac:dyDescent="0.3">
      <c r="A3" s="3" t="s">
        <v>10</v>
      </c>
      <c r="B3" s="3">
        <v>11</v>
      </c>
      <c r="F3" s="7"/>
      <c r="G3" s="7"/>
      <c r="H3" s="7"/>
      <c r="I3" s="7"/>
      <c r="M3">
        <v>1</v>
      </c>
      <c r="P3" t="s">
        <v>20</v>
      </c>
      <c r="Q3">
        <v>0</v>
      </c>
      <c r="R3">
        <v>3</v>
      </c>
      <c r="S3" t="s">
        <v>50</v>
      </c>
    </row>
    <row r="4" spans="1:19" x14ac:dyDescent="0.3">
      <c r="A4" s="3" t="s">
        <v>11</v>
      </c>
      <c r="B4" s="3">
        <v>8</v>
      </c>
      <c r="F4" s="7"/>
      <c r="G4" s="7"/>
      <c r="H4" s="7"/>
      <c r="I4" s="7"/>
      <c r="M4">
        <v>2</v>
      </c>
      <c r="P4" t="s">
        <v>8</v>
      </c>
      <c r="Q4">
        <v>1</v>
      </c>
      <c r="R4">
        <v>5</v>
      </c>
      <c r="S4" t="s">
        <v>51</v>
      </c>
    </row>
    <row r="5" spans="1:19" x14ac:dyDescent="0.3">
      <c r="A5" s="3" t="s">
        <v>12</v>
      </c>
      <c r="B5" s="3">
        <v>12</v>
      </c>
      <c r="F5" s="7"/>
      <c r="G5" s="7"/>
      <c r="H5" s="7"/>
      <c r="I5" s="7"/>
      <c r="M5">
        <v>3</v>
      </c>
      <c r="P5" t="s">
        <v>21</v>
      </c>
      <c r="Q5">
        <v>2</v>
      </c>
      <c r="R5">
        <v>5</v>
      </c>
      <c r="S5" t="s">
        <v>52</v>
      </c>
    </row>
    <row r="6" spans="1:19" x14ac:dyDescent="0.3">
      <c r="A6" s="3" t="s">
        <v>8</v>
      </c>
      <c r="B6" s="3">
        <v>11</v>
      </c>
      <c r="F6" s="7"/>
      <c r="G6" s="7"/>
      <c r="H6" s="7"/>
      <c r="I6" s="7"/>
      <c r="M6">
        <v>4</v>
      </c>
      <c r="P6" t="s">
        <v>9</v>
      </c>
      <c r="Q6">
        <v>3</v>
      </c>
      <c r="R6">
        <v>10</v>
      </c>
      <c r="S6" t="s">
        <v>53</v>
      </c>
    </row>
    <row r="7" spans="1:19" x14ac:dyDescent="0.3">
      <c r="A7" s="3" t="s">
        <v>13</v>
      </c>
      <c r="B7" s="3">
        <v>4</v>
      </c>
      <c r="F7" s="7"/>
      <c r="G7" s="7"/>
      <c r="H7" s="7"/>
      <c r="I7" s="7"/>
      <c r="M7">
        <v>5</v>
      </c>
      <c r="P7" t="s">
        <v>22</v>
      </c>
      <c r="Q7">
        <v>4</v>
      </c>
      <c r="R7">
        <v>8</v>
      </c>
      <c r="S7" t="s">
        <v>53</v>
      </c>
    </row>
    <row r="8" spans="1:19" x14ac:dyDescent="0.3">
      <c r="A8" s="3" t="s">
        <v>12</v>
      </c>
      <c r="B8" s="3">
        <v>5</v>
      </c>
      <c r="E8" s="8" t="s">
        <v>20</v>
      </c>
      <c r="M8">
        <v>6</v>
      </c>
      <c r="P8" t="s">
        <v>23</v>
      </c>
      <c r="Q8">
        <v>5</v>
      </c>
      <c r="R8">
        <v>13</v>
      </c>
      <c r="S8" t="s">
        <v>54</v>
      </c>
    </row>
    <row r="9" spans="1:19" x14ac:dyDescent="0.3">
      <c r="A9" s="3" t="s">
        <v>10</v>
      </c>
      <c r="B9" s="3">
        <v>9</v>
      </c>
      <c r="E9" s="8" t="s">
        <v>8</v>
      </c>
      <c r="M9">
        <v>7</v>
      </c>
      <c r="P9" t="s">
        <v>24</v>
      </c>
      <c r="Q9">
        <v>6</v>
      </c>
      <c r="R9">
        <v>11</v>
      </c>
      <c r="S9" t="s">
        <v>54</v>
      </c>
    </row>
    <row r="10" spans="1:19" x14ac:dyDescent="0.3">
      <c r="A10" s="3" t="s">
        <v>13</v>
      </c>
      <c r="B10" s="3">
        <v>5</v>
      </c>
      <c r="E10" s="8" t="s">
        <v>21</v>
      </c>
      <c r="J10" s="5">
        <f>SUM(F$3:F$4)</f>
        <v>0</v>
      </c>
      <c r="K10" s="5">
        <f>SUM(G$3:G$4)</f>
        <v>0</v>
      </c>
      <c r="M10">
        <v>8</v>
      </c>
      <c r="P10" t="s">
        <v>25</v>
      </c>
      <c r="Q10">
        <v>7</v>
      </c>
      <c r="R10">
        <v>16</v>
      </c>
      <c r="S10" t="s">
        <v>55</v>
      </c>
    </row>
    <row r="11" spans="1:19" x14ac:dyDescent="0.3">
      <c r="A11" s="3" t="s">
        <v>11</v>
      </c>
      <c r="B11" s="3">
        <v>2</v>
      </c>
      <c r="E11" s="8" t="s">
        <v>9</v>
      </c>
      <c r="J11" s="5">
        <f>SUM(F$4:F$5)</f>
        <v>0</v>
      </c>
      <c r="K11" s="5">
        <f>SUM(G$4:G$5)</f>
        <v>0</v>
      </c>
      <c r="M11">
        <v>9</v>
      </c>
      <c r="P11" t="s">
        <v>26</v>
      </c>
      <c r="Q11">
        <v>8</v>
      </c>
      <c r="R11">
        <v>10</v>
      </c>
      <c r="S11" t="s">
        <v>55</v>
      </c>
    </row>
    <row r="12" spans="1:19" x14ac:dyDescent="0.3">
      <c r="A12" s="3" t="s">
        <v>11</v>
      </c>
      <c r="B12" s="3">
        <v>10</v>
      </c>
      <c r="E12" s="8" t="s">
        <v>22</v>
      </c>
      <c r="J12" s="5">
        <f>SUM(F$3,F$6)</f>
        <v>0</v>
      </c>
      <c r="K12" s="5">
        <f>SUM(G$3,G$6)</f>
        <v>0</v>
      </c>
      <c r="M12">
        <v>10</v>
      </c>
      <c r="P12" t="s">
        <v>27</v>
      </c>
      <c r="Q12">
        <v>9</v>
      </c>
      <c r="R12">
        <v>12</v>
      </c>
      <c r="S12" t="s">
        <v>56</v>
      </c>
    </row>
    <row r="13" spans="1:19" x14ac:dyDescent="0.3">
      <c r="A13" s="3" t="s">
        <v>13</v>
      </c>
      <c r="B13" s="3">
        <v>6</v>
      </c>
      <c r="E13" s="8" t="s">
        <v>23</v>
      </c>
      <c r="J13" s="5">
        <f>SUM(F$3,F$6:F$7)</f>
        <v>0</v>
      </c>
      <c r="K13" s="5">
        <f>SUM(G$3,G$6:G$7)</f>
        <v>0</v>
      </c>
      <c r="M13">
        <v>11</v>
      </c>
      <c r="P13" t="s">
        <v>28</v>
      </c>
      <c r="Q13">
        <v>10</v>
      </c>
      <c r="R13">
        <v>21</v>
      </c>
      <c r="S13" t="s">
        <v>57</v>
      </c>
    </row>
    <row r="14" spans="1:19" x14ac:dyDescent="0.3">
      <c r="A14" s="3" t="s">
        <v>8</v>
      </c>
      <c r="B14" s="3">
        <v>8</v>
      </c>
      <c r="E14" s="8" t="s">
        <v>24</v>
      </c>
      <c r="J14" s="5">
        <f>SUM(F$3:F$4,F$7)</f>
        <v>0</v>
      </c>
      <c r="K14" s="5">
        <f>SUM(G$3:G$4,G$7)</f>
        <v>0</v>
      </c>
      <c r="M14">
        <v>12</v>
      </c>
      <c r="P14" t="s">
        <v>29</v>
      </c>
      <c r="Q14">
        <v>11</v>
      </c>
      <c r="R14">
        <v>18</v>
      </c>
      <c r="S14" t="s">
        <v>57</v>
      </c>
    </row>
    <row r="15" spans="1:19" x14ac:dyDescent="0.3">
      <c r="A15" s="3" t="s">
        <v>10</v>
      </c>
      <c r="B15" s="3">
        <v>10</v>
      </c>
      <c r="E15" s="8" t="s">
        <v>25</v>
      </c>
      <c r="J15" s="5">
        <f>SUM(F$4,F$7:F$8)</f>
        <v>0</v>
      </c>
      <c r="K15" s="5">
        <f>SUM(G$4,G$7:G$8)</f>
        <v>0</v>
      </c>
      <c r="M15">
        <v>13</v>
      </c>
      <c r="P15" t="s">
        <v>30</v>
      </c>
      <c r="Q15">
        <v>12</v>
      </c>
      <c r="R15">
        <v>24</v>
      </c>
      <c r="S15" t="s">
        <v>58</v>
      </c>
    </row>
    <row r="16" spans="1:19" x14ac:dyDescent="0.3">
      <c r="A16" s="3" t="s">
        <v>12</v>
      </c>
      <c r="B16" s="3">
        <v>6</v>
      </c>
      <c r="E16" s="8" t="s">
        <v>26</v>
      </c>
      <c r="J16" s="5">
        <f>SUM(F$4:F$5,F$8)</f>
        <v>0</v>
      </c>
      <c r="K16" s="5">
        <f>SUM(G$4:G$5,G$8)</f>
        <v>0</v>
      </c>
      <c r="M16">
        <v>14</v>
      </c>
      <c r="P16" t="s">
        <v>31</v>
      </c>
      <c r="Q16">
        <v>13</v>
      </c>
      <c r="R16">
        <v>21</v>
      </c>
      <c r="S16" t="s">
        <v>58</v>
      </c>
    </row>
    <row r="17" spans="1:19" x14ac:dyDescent="0.3">
      <c r="A17" s="3" t="s">
        <v>10</v>
      </c>
      <c r="B17" s="3">
        <v>4</v>
      </c>
      <c r="E17" s="8" t="s">
        <v>27</v>
      </c>
      <c r="J17" s="5">
        <f>SUM(F$5,F$8:F$9)</f>
        <v>0</v>
      </c>
      <c r="K17" s="5">
        <f>SUM(G$5,G$8:G$9)</f>
        <v>0</v>
      </c>
      <c r="M17">
        <v>15</v>
      </c>
      <c r="P17" t="s">
        <v>13</v>
      </c>
      <c r="Q17">
        <v>14</v>
      </c>
      <c r="R17">
        <v>27</v>
      </c>
      <c r="S17" t="s">
        <v>59</v>
      </c>
    </row>
    <row r="18" spans="1:19" x14ac:dyDescent="0.3">
      <c r="A18" s="3" t="s">
        <v>12</v>
      </c>
      <c r="B18" s="3">
        <v>3</v>
      </c>
      <c r="E18" s="8" t="s">
        <v>28</v>
      </c>
      <c r="J18" s="5">
        <f>SUM(F$5,F$9)</f>
        <v>0</v>
      </c>
      <c r="K18" s="5">
        <f>SUM(G$5,G$9)</f>
        <v>0</v>
      </c>
      <c r="M18">
        <v>16</v>
      </c>
      <c r="P18" t="s">
        <v>32</v>
      </c>
      <c r="Q18">
        <v>15</v>
      </c>
      <c r="R18">
        <v>24</v>
      </c>
      <c r="S18" t="s">
        <v>59</v>
      </c>
    </row>
    <row r="19" spans="1:19" x14ac:dyDescent="0.3">
      <c r="A19" s="3" t="s">
        <v>8</v>
      </c>
      <c r="B19" s="3">
        <v>9</v>
      </c>
      <c r="E19" s="8" t="s">
        <v>29</v>
      </c>
      <c r="J19" s="5">
        <f>SUM(F$6,F$10)</f>
        <v>0</v>
      </c>
      <c r="K19" s="5">
        <f>SUM(G$6,G$10)</f>
        <v>0</v>
      </c>
      <c r="M19">
        <v>17</v>
      </c>
      <c r="P19" t="s">
        <v>33</v>
      </c>
      <c r="Q19">
        <v>16</v>
      </c>
      <c r="R19">
        <v>30</v>
      </c>
      <c r="S19" t="s">
        <v>60</v>
      </c>
    </row>
    <row r="20" spans="1:19" x14ac:dyDescent="0.3">
      <c r="A20" s="3" t="s">
        <v>11</v>
      </c>
      <c r="B20" s="3">
        <v>3</v>
      </c>
      <c r="E20" s="8" t="s">
        <v>30</v>
      </c>
      <c r="J20" s="5">
        <f>SUM(F$6,F$10:F$11)</f>
        <v>0</v>
      </c>
      <c r="K20" s="5">
        <f>SUM(G$6,G$10:G$11)</f>
        <v>0</v>
      </c>
      <c r="M20">
        <v>18</v>
      </c>
      <c r="P20" t="s">
        <v>34</v>
      </c>
      <c r="Q20">
        <v>17</v>
      </c>
      <c r="R20">
        <v>19</v>
      </c>
      <c r="S20" t="s">
        <v>60</v>
      </c>
    </row>
    <row r="21" spans="1:19" x14ac:dyDescent="0.3">
      <c r="E21" s="8" t="s">
        <v>31</v>
      </c>
      <c r="J21" s="5">
        <f>SUM(F$6:F$7,F$11)</f>
        <v>0</v>
      </c>
      <c r="K21" s="5">
        <f>SUM(G$6:G$7,G$11)</f>
        <v>0</v>
      </c>
      <c r="M21">
        <v>19</v>
      </c>
      <c r="P21" t="s">
        <v>12</v>
      </c>
      <c r="Q21">
        <v>18</v>
      </c>
      <c r="R21">
        <v>21</v>
      </c>
      <c r="S21" t="s">
        <v>61</v>
      </c>
    </row>
    <row r="22" spans="1:19" x14ac:dyDescent="0.3">
      <c r="A22" s="12" t="s">
        <v>35</v>
      </c>
      <c r="B22" s="11">
        <v>5</v>
      </c>
      <c r="C22" s="12" t="s">
        <v>21</v>
      </c>
      <c r="D22" s="12" t="s">
        <v>8</v>
      </c>
      <c r="E22" s="8" t="s">
        <v>13</v>
      </c>
      <c r="J22" s="5">
        <f>SUM(F$7,F$11:F$12)</f>
        <v>0</v>
      </c>
      <c r="K22" s="5">
        <f>SUM(G$7,G$11:G$12)</f>
        <v>0</v>
      </c>
      <c r="M22">
        <v>20</v>
      </c>
      <c r="P22" t="s">
        <v>35</v>
      </c>
      <c r="Q22">
        <v>19</v>
      </c>
      <c r="R22">
        <v>30</v>
      </c>
      <c r="S22" t="s">
        <v>61</v>
      </c>
    </row>
    <row r="23" spans="1:19" x14ac:dyDescent="0.3">
      <c r="A23" s="12" t="s">
        <v>29</v>
      </c>
      <c r="B23" s="11" t="s">
        <v>39</v>
      </c>
      <c r="C23" s="12">
        <v>31</v>
      </c>
      <c r="D23" s="12" t="s">
        <v>23</v>
      </c>
      <c r="E23" s="8" t="s">
        <v>32</v>
      </c>
      <c r="J23" s="5">
        <f>SUM(F$7:F$8,F$12)</f>
        <v>0</v>
      </c>
      <c r="K23" s="5">
        <f>SUM(G$7:G$8,G$12)</f>
        <v>0</v>
      </c>
      <c r="M23">
        <v>21</v>
      </c>
      <c r="P23" t="s">
        <v>36</v>
      </c>
      <c r="Q23">
        <v>20</v>
      </c>
      <c r="R23">
        <v>36</v>
      </c>
      <c r="S23" t="s">
        <v>62</v>
      </c>
    </row>
    <row r="24" spans="1:19" x14ac:dyDescent="0.3">
      <c r="A24" s="12">
        <v>13</v>
      </c>
      <c r="B24" s="12">
        <v>1</v>
      </c>
      <c r="C24" s="12">
        <v>41</v>
      </c>
      <c r="D24" s="11" t="s">
        <v>25</v>
      </c>
      <c r="E24" s="8" t="s">
        <v>33</v>
      </c>
      <c r="J24" s="5">
        <f>SUM(F$8,F$12:F$13)</f>
        <v>0</v>
      </c>
      <c r="K24" s="5">
        <f>SUM(G$8,G$12:G$13)</f>
        <v>0</v>
      </c>
      <c r="M24">
        <v>22</v>
      </c>
      <c r="P24" t="s">
        <v>37</v>
      </c>
      <c r="Q24">
        <v>21</v>
      </c>
      <c r="R24">
        <v>33</v>
      </c>
      <c r="S24" t="s">
        <v>62</v>
      </c>
    </row>
    <row r="25" spans="1:19" x14ac:dyDescent="0.3">
      <c r="A25" s="12">
        <v>24</v>
      </c>
      <c r="B25" s="12" t="s">
        <v>13</v>
      </c>
      <c r="C25" s="11" t="s">
        <v>33</v>
      </c>
      <c r="D25" s="12">
        <v>3</v>
      </c>
      <c r="E25" s="8" t="s">
        <v>34</v>
      </c>
      <c r="J25" s="5">
        <f>SUM(F$8:F$9,F$13)</f>
        <v>0</v>
      </c>
      <c r="K25" s="5">
        <f>SUM(G$8:G$9,G$13)</f>
        <v>0</v>
      </c>
      <c r="M25">
        <v>23</v>
      </c>
      <c r="P25" t="s">
        <v>10</v>
      </c>
      <c r="Q25">
        <v>22</v>
      </c>
      <c r="R25">
        <v>39</v>
      </c>
      <c r="S25" t="s">
        <v>63</v>
      </c>
    </row>
    <row r="26" spans="1:19" x14ac:dyDescent="0.3">
      <c r="A26" s="12"/>
      <c r="B26" s="11" t="s">
        <v>37</v>
      </c>
      <c r="C26" s="12">
        <v>35</v>
      </c>
      <c r="D26" s="12">
        <v>51</v>
      </c>
      <c r="E26" s="8" t="s">
        <v>12</v>
      </c>
      <c r="J26" s="5">
        <f>SUM(F$9,F$13:F$14)</f>
        <v>0</v>
      </c>
      <c r="K26" s="5">
        <f>SUM(G$9,G$13:G$14)</f>
        <v>0</v>
      </c>
      <c r="M26">
        <v>24</v>
      </c>
      <c r="P26" t="s">
        <v>38</v>
      </c>
      <c r="Q26">
        <v>23</v>
      </c>
      <c r="R26">
        <v>36</v>
      </c>
      <c r="S26" t="s">
        <v>63</v>
      </c>
    </row>
    <row r="27" spans="1:19" x14ac:dyDescent="0.3">
      <c r="A27" s="12"/>
      <c r="B27" s="12"/>
      <c r="C27" s="12"/>
      <c r="D27" s="12">
        <v>9</v>
      </c>
      <c r="E27" s="8" t="s">
        <v>35</v>
      </c>
      <c r="J27" s="5">
        <f>SUM(F$9,F$14)</f>
        <v>0</v>
      </c>
      <c r="K27" s="5">
        <f>SUM(G$9,G$14)</f>
        <v>0</v>
      </c>
      <c r="M27">
        <v>25</v>
      </c>
      <c r="P27" t="s">
        <v>39</v>
      </c>
      <c r="Q27">
        <v>24</v>
      </c>
      <c r="R27">
        <v>42</v>
      </c>
      <c r="S27" t="s">
        <v>64</v>
      </c>
    </row>
    <row r="28" spans="1:19" x14ac:dyDescent="0.3">
      <c r="B28" s="12" t="s">
        <v>81</v>
      </c>
      <c r="E28" s="8" t="s">
        <v>36</v>
      </c>
      <c r="J28" s="5">
        <f>SUM(F$10,F$15)</f>
        <v>0</v>
      </c>
      <c r="K28" s="5">
        <f>SUM(G$10,G$15)</f>
        <v>0</v>
      </c>
      <c r="M28">
        <v>26</v>
      </c>
      <c r="P28" t="s">
        <v>40</v>
      </c>
      <c r="Q28">
        <v>25</v>
      </c>
      <c r="R28">
        <v>39</v>
      </c>
      <c r="S28" t="s">
        <v>64</v>
      </c>
    </row>
    <row r="29" spans="1:19" x14ac:dyDescent="0.3">
      <c r="E29" s="8" t="s">
        <v>37</v>
      </c>
      <c r="J29" s="5">
        <f>SUM(F$10:F$11,F$15)</f>
        <v>0</v>
      </c>
      <c r="K29" s="5">
        <f>SUM(G$10:G$11,G$15)</f>
        <v>0</v>
      </c>
      <c r="M29">
        <v>27</v>
      </c>
      <c r="P29">
        <v>0</v>
      </c>
      <c r="Q29">
        <v>26</v>
      </c>
      <c r="R29">
        <v>28</v>
      </c>
      <c r="S29" t="s">
        <v>64</v>
      </c>
    </row>
    <row r="30" spans="1:19" x14ac:dyDescent="0.3">
      <c r="E30" s="8" t="s">
        <v>10</v>
      </c>
      <c r="J30" s="5">
        <f>SUM(F$11,F$15:F$16)</f>
        <v>0</v>
      </c>
      <c r="K30" s="5">
        <f>SUM(G$11,G$15:G$16)</f>
        <v>0</v>
      </c>
      <c r="M30">
        <v>28</v>
      </c>
      <c r="P30">
        <v>1</v>
      </c>
      <c r="Q30">
        <v>27</v>
      </c>
      <c r="R30">
        <v>30</v>
      </c>
      <c r="S30" t="s">
        <v>65</v>
      </c>
    </row>
    <row r="31" spans="1:19" x14ac:dyDescent="0.3">
      <c r="E31" s="8" t="s">
        <v>38</v>
      </c>
      <c r="J31" s="5">
        <f>SUM(F$11:F$12,F$16)</f>
        <v>0</v>
      </c>
      <c r="K31" s="5">
        <f>SUM(G$11:G$12,G$16)</f>
        <v>0</v>
      </c>
      <c r="M31">
        <v>29</v>
      </c>
      <c r="P31">
        <v>2</v>
      </c>
      <c r="Q31">
        <v>28</v>
      </c>
      <c r="R31">
        <v>44</v>
      </c>
      <c r="S31" t="s">
        <v>65</v>
      </c>
    </row>
    <row r="32" spans="1:19" x14ac:dyDescent="0.3">
      <c r="E32" s="8" t="s">
        <v>39</v>
      </c>
      <c r="J32" s="5">
        <f>SUM(F$12,F$16:F$17)</f>
        <v>0</v>
      </c>
      <c r="K32" s="5">
        <f>SUM(G$12,G$16:G$17)</f>
        <v>0</v>
      </c>
      <c r="M32">
        <v>30</v>
      </c>
      <c r="P32">
        <v>3</v>
      </c>
      <c r="Q32">
        <v>29</v>
      </c>
      <c r="R32">
        <v>49</v>
      </c>
      <c r="S32" t="s">
        <v>66</v>
      </c>
    </row>
    <row r="33" spans="5:19" x14ac:dyDescent="0.3">
      <c r="E33" s="8" t="s">
        <v>40</v>
      </c>
      <c r="J33" s="5">
        <f>SUM(F$12:F$13,F$17)</f>
        <v>0</v>
      </c>
      <c r="K33" s="5">
        <f>SUM(G$12:G$13,G$17)</f>
        <v>0</v>
      </c>
      <c r="M33">
        <v>31</v>
      </c>
      <c r="P33">
        <v>4</v>
      </c>
      <c r="Q33">
        <v>30</v>
      </c>
      <c r="R33">
        <v>47</v>
      </c>
      <c r="S33" t="s">
        <v>66</v>
      </c>
    </row>
    <row r="34" spans="5:19" x14ac:dyDescent="0.3">
      <c r="E34" s="9">
        <v>1</v>
      </c>
      <c r="J34" s="5">
        <f>SUM(F$13,F$17:F$18)</f>
        <v>0</v>
      </c>
      <c r="K34" s="5">
        <f>SUM(G$13,G$17:G$18)</f>
        <v>0</v>
      </c>
      <c r="M34">
        <v>32</v>
      </c>
      <c r="P34">
        <v>5</v>
      </c>
      <c r="Q34">
        <v>31</v>
      </c>
      <c r="R34">
        <v>52</v>
      </c>
      <c r="S34" t="s">
        <v>67</v>
      </c>
    </row>
    <row r="35" spans="5:19" x14ac:dyDescent="0.3">
      <c r="E35" s="9">
        <v>2</v>
      </c>
      <c r="J35" s="5">
        <f>SUM(F$13:F$14,F$18)</f>
        <v>0</v>
      </c>
      <c r="K35" s="5">
        <f>SUM(G$13:G$14,G$18)</f>
        <v>0</v>
      </c>
      <c r="M35">
        <v>33</v>
      </c>
      <c r="P35">
        <v>6</v>
      </c>
      <c r="Q35">
        <v>32</v>
      </c>
      <c r="R35">
        <v>50</v>
      </c>
      <c r="S35" t="s">
        <v>67</v>
      </c>
    </row>
    <row r="36" spans="5:19" x14ac:dyDescent="0.3">
      <c r="E36" s="9">
        <v>3</v>
      </c>
      <c r="J36" s="5">
        <f>SUM(F$14,F$18)</f>
        <v>0</v>
      </c>
      <c r="K36" s="5">
        <f>SUM(G$14,G$18)</f>
        <v>0</v>
      </c>
      <c r="M36">
        <v>34</v>
      </c>
      <c r="P36">
        <v>7</v>
      </c>
      <c r="Q36">
        <v>33</v>
      </c>
      <c r="R36">
        <v>35</v>
      </c>
      <c r="S36" t="s">
        <v>67</v>
      </c>
    </row>
    <row r="37" spans="5:19" x14ac:dyDescent="0.3">
      <c r="E37" s="9">
        <v>4</v>
      </c>
      <c r="J37" s="5">
        <f>SUM(F$15,F$19)</f>
        <v>0</v>
      </c>
      <c r="K37" s="5">
        <f>SUM(G$15,G$19)</f>
        <v>0</v>
      </c>
      <c r="M37">
        <v>35</v>
      </c>
      <c r="P37">
        <v>8</v>
      </c>
      <c r="Q37">
        <v>34</v>
      </c>
      <c r="R37">
        <v>35</v>
      </c>
      <c r="S37" t="s">
        <v>66</v>
      </c>
    </row>
    <row r="38" spans="5:19" x14ac:dyDescent="0.3">
      <c r="E38" s="9">
        <v>5</v>
      </c>
      <c r="J38" s="5">
        <f>SUM(F$15:F$16,F$19)</f>
        <v>0</v>
      </c>
      <c r="K38" s="5">
        <f>SUM(G$15:G$16,G$19)</f>
        <v>0</v>
      </c>
      <c r="M38">
        <v>36</v>
      </c>
      <c r="P38">
        <v>9</v>
      </c>
      <c r="Q38">
        <v>35</v>
      </c>
      <c r="R38">
        <v>37</v>
      </c>
      <c r="S38" t="s">
        <v>67</v>
      </c>
    </row>
    <row r="39" spans="5:19" x14ac:dyDescent="0.3">
      <c r="E39" s="9">
        <v>6</v>
      </c>
      <c r="J39" s="5">
        <f>SUM(F$16,F$19:F$20)</f>
        <v>0</v>
      </c>
      <c r="K39" s="5">
        <f>SUM(G$16,G$19:G$20)</f>
        <v>0</v>
      </c>
      <c r="M39">
        <v>37</v>
      </c>
      <c r="P39">
        <v>10</v>
      </c>
      <c r="Q39">
        <v>36</v>
      </c>
      <c r="R39">
        <v>37</v>
      </c>
      <c r="S39" t="s">
        <v>67</v>
      </c>
    </row>
    <row r="40" spans="5:19" x14ac:dyDescent="0.3">
      <c r="E40" s="9">
        <v>7</v>
      </c>
      <c r="J40" s="5">
        <f>SUM(F$16:F$17,F$20)</f>
        <v>0</v>
      </c>
      <c r="K40" s="5">
        <f>SUM(G$16:G$17,G$20)</f>
        <v>0</v>
      </c>
      <c r="M40">
        <v>38</v>
      </c>
    </row>
    <row r="41" spans="5:19" x14ac:dyDescent="0.3">
      <c r="E41" s="9">
        <v>8</v>
      </c>
      <c r="J41" s="5">
        <f>SUM(F$17,F$20:F$21)</f>
        <v>0</v>
      </c>
      <c r="K41" s="5">
        <f>SUM(G$17,G$20:G$21)</f>
        <v>0</v>
      </c>
      <c r="M41">
        <v>39</v>
      </c>
    </row>
    <row r="42" spans="5:19" x14ac:dyDescent="0.3">
      <c r="E42" s="9">
        <v>9</v>
      </c>
      <c r="J42" s="5">
        <f>SUM(F$17:F$18,F$21)</f>
        <v>0</v>
      </c>
      <c r="K42" s="5">
        <f>SUM(G$17:G$18,G$21)</f>
        <v>0</v>
      </c>
    </row>
    <row r="43" spans="5:19" x14ac:dyDescent="0.3">
      <c r="E43" s="9">
        <v>10</v>
      </c>
      <c r="J43" s="5">
        <f>SUM(F$18,F$21)</f>
        <v>0</v>
      </c>
      <c r="K43" s="5">
        <f>SUM(G$18,G$21)</f>
        <v>0</v>
      </c>
    </row>
    <row r="44" spans="5:19" x14ac:dyDescent="0.3">
      <c r="J44" s="5">
        <f>SUM(F$19:F$20)</f>
        <v>0</v>
      </c>
      <c r="K44" s="5">
        <f>SUM(G$19:G$20)</f>
        <v>0</v>
      </c>
    </row>
    <row r="45" spans="5:19" x14ac:dyDescent="0.3">
      <c r="J45" s="5">
        <f>SUM(F$20:F$21)</f>
        <v>0</v>
      </c>
      <c r="K45" s="5">
        <f>SUM(G$20:G$21)</f>
        <v>0</v>
      </c>
    </row>
  </sheetData>
  <conditionalFormatting sqref="J10:J4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0:K4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howInputMessage="1" showErrorMessage="1" sqref="A2:A20" xr:uid="{84C5C2C0-85D9-4ECC-BC1D-02DF0CFF5E41}">
      <formula1>"B,W,Wh,S,O,D,Wood, Brick, Wheat, Sheep, Ore, Desert"</formula1>
    </dataValidation>
    <dataValidation type="whole" allowBlank="1" showInputMessage="1" showErrorMessage="1" sqref="B2:B20" xr:uid="{F90FAE62-FC4E-4809-B487-1474567D0C3A}">
      <formula1>2</formula1>
      <formula2>12</formula2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johnw</dc:creator>
  <cp:lastModifiedBy>John Rehagen</cp:lastModifiedBy>
  <dcterms:created xsi:type="dcterms:W3CDTF">2015-06-05T18:17:20Z</dcterms:created>
  <dcterms:modified xsi:type="dcterms:W3CDTF">2023-10-23T21:46:44Z</dcterms:modified>
</cp:coreProperties>
</file>